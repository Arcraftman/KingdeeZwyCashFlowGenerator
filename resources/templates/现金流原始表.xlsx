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F:\vscode\weiyu\templates\"/>
    </mc:Choice>
  </mc:AlternateContent>
  <xr:revisionPtr revIDLastSave="0" documentId="13_ncr:1_{5487D3E9-C077-4DF6-8D30-73587EE8A5B3}" xr6:coauthVersionLast="47" xr6:coauthVersionMax="47" xr10:uidLastSave="{00000000-0000-0000-0000-000000000000}"/>
  <bookViews>
    <workbookView xWindow="-108" yWindow="-108" windowWidth="23256" windowHeight="12720" tabRatio="679" activeTab="1" xr2:uid="{00000000-000D-0000-FFFF-FFFF00000000}"/>
  </bookViews>
  <sheets>
    <sheet name="年度财务收支表" sheetId="10" r:id="rId1"/>
    <sheet name="汇总表" sheetId="7" r:id="rId2"/>
    <sheet name="原始表" sheetId="17" r:id="rId3"/>
    <sheet name="2、账户" sheetId="2" state="hidden" r:id="rId4"/>
    <sheet name="3、账户" sheetId="3" state="hidden" r:id="rId5"/>
    <sheet name="4、账户" sheetId="5" state="hidden" r:id="rId6"/>
    <sheet name="5、支付宝" sheetId="8" state="hidden" r:id="rId7"/>
    <sheet name="6、现金" sheetId="4" state="hidden" r:id="rId8"/>
    <sheet name="7、备用表" sheetId="9" state="hidden" r:id="rId9"/>
  </sheets>
  <externalReferences>
    <externalReference r:id="rId10"/>
    <externalReference r:id="rId11"/>
  </externalReferences>
  <definedNames>
    <definedName name="_xlnm._FilterDatabase" localSheetId="3" hidden="1">'2、账户'!$A$3:$BE$126</definedName>
    <definedName name="_xlnm._FilterDatabase" localSheetId="4" hidden="1">'3、账户'!$A$3:$BE$126</definedName>
    <definedName name="_xlnm._FilterDatabase" localSheetId="5" hidden="1">'4、账户'!$A$3:$BE$126</definedName>
    <definedName name="_xlnm._FilterDatabase" localSheetId="6" hidden="1">'5、支付宝'!$A$3:$BE$126</definedName>
    <definedName name="_xlnm._FilterDatabase" localSheetId="7" hidden="1">'6、现金'!$A$3:$BE$126</definedName>
    <definedName name="_xlnm._FilterDatabase" localSheetId="8" hidden="1">'7、备用表'!$A$3:$BE$126</definedName>
    <definedName name="_xlnm._FilterDatabase" localSheetId="1" hidden="1">汇总表!$A$3:$BF$3</definedName>
    <definedName name="_xlnm._FilterDatabase" localSheetId="2" hidden="1">原始表!$A$3:$BE$13</definedName>
    <definedName name="存货初始数据">'[1]13 在外库存-2'!$A$1:$W$1</definedName>
    <definedName name="分析" localSheetId="3">#REF!</definedName>
    <definedName name="分析" localSheetId="4">#REF!</definedName>
    <definedName name="分析" localSheetId="5">#REF!</definedName>
    <definedName name="分析" localSheetId="6">#REF!</definedName>
    <definedName name="分析" localSheetId="7">#REF!</definedName>
    <definedName name="分析" localSheetId="8">#REF!</definedName>
    <definedName name="分析" localSheetId="1">#REF!</definedName>
    <definedName name="分析">#REF!</definedName>
    <definedName name="核算项目余额表" localSheetId="3">#REF!</definedName>
    <definedName name="核算项目余额表" localSheetId="4">#REF!</definedName>
    <definedName name="核算项目余额表" localSheetId="5">#REF!</definedName>
    <definedName name="核算项目余额表" localSheetId="6">#REF!</definedName>
    <definedName name="核算项目余额表" localSheetId="7">#REF!</definedName>
    <definedName name="核算项目余额表" localSheetId="8">#REF!</definedName>
    <definedName name="核算项目余额表" localSheetId="1">#REF!</definedName>
    <definedName name="核算项目余额表">#REF!</definedName>
    <definedName name="即时库存表" localSheetId="3">#REF!</definedName>
    <definedName name="即时库存表" localSheetId="4">#REF!</definedName>
    <definedName name="即时库存表" localSheetId="5">#REF!</definedName>
    <definedName name="即时库存表" localSheetId="6">#REF!</definedName>
    <definedName name="即时库存表" localSheetId="7">#REF!</definedName>
    <definedName name="即时库存表" localSheetId="8">#REF!</definedName>
    <definedName name="即时库存表" localSheetId="1">#REF!</definedName>
    <definedName name="即时库存表">#REF!</definedName>
    <definedName name="科目余额表" localSheetId="3">#REF!</definedName>
    <definedName name="科目余额表" localSheetId="4">#REF!</definedName>
    <definedName name="科目余额表" localSheetId="5">#REF!</definedName>
    <definedName name="科目余额表" localSheetId="6">#REF!</definedName>
    <definedName name="科目余额表" localSheetId="7">#REF!</definedName>
    <definedName name="科目余额表" localSheetId="8">#REF!</definedName>
    <definedName name="科目余额表" localSheetId="1">#REF!</definedName>
    <definedName name="科目余额表">#REF!</definedName>
    <definedName name="名称" localSheetId="3">#REF!</definedName>
    <definedName name="名称" localSheetId="4">#REF!</definedName>
    <definedName name="名称" localSheetId="5">#REF!</definedName>
    <definedName name="名称" localSheetId="6">#REF!</definedName>
    <definedName name="名称" localSheetId="7">#REF!</definedName>
    <definedName name="名称" localSheetId="8">#REF!</definedName>
    <definedName name="名称" localSheetId="1">#REF!</definedName>
    <definedName name="名称">#REF!</definedName>
    <definedName name="数据啊" localSheetId="3">#REF!</definedName>
    <definedName name="数据啊" localSheetId="4">#REF!</definedName>
    <definedName name="数据啊" localSheetId="5">#REF!</definedName>
    <definedName name="数据啊" localSheetId="6">#REF!</definedName>
    <definedName name="数据啊" localSheetId="7">#REF!</definedName>
    <definedName name="数据啊" localSheetId="8">#REF!</definedName>
    <definedName name="数据啊" localSheetId="1">#REF!</definedName>
    <definedName name="数据啊">#REF!</definedName>
    <definedName name="委托代销明细表" localSheetId="3">#REF!</definedName>
    <definedName name="委托代销明细表" localSheetId="4">#REF!</definedName>
    <definedName name="委托代销明细表" localSheetId="5">#REF!</definedName>
    <definedName name="委托代销明细表" localSheetId="6">#REF!</definedName>
    <definedName name="委托代销明细表" localSheetId="7">#REF!</definedName>
    <definedName name="委托代销明细表" localSheetId="8">#REF!</definedName>
    <definedName name="委托代销明细表" localSheetId="1">#REF!</definedName>
    <definedName name="委托代销明细表">#REF!</definedName>
    <definedName name="委托代销收益分析表" localSheetId="3">#REF!</definedName>
    <definedName name="委托代销收益分析表" localSheetId="4">#REF!</definedName>
    <definedName name="委托代销收益分析表" localSheetId="5">#REF!</definedName>
    <definedName name="委托代销收益分析表" localSheetId="6">#REF!</definedName>
    <definedName name="委托代销收益分析表" localSheetId="7">#REF!</definedName>
    <definedName name="委托代销收益分析表" localSheetId="8">#REF!</definedName>
    <definedName name="委托代销收益分析表" localSheetId="1">#REF!</definedName>
    <definedName name="委托代销收益分析表">#REF!</definedName>
    <definedName name="现金" localSheetId="3">#REF!</definedName>
    <definedName name="现金" localSheetId="4">#REF!</definedName>
    <definedName name="现金" localSheetId="5">#REF!</definedName>
    <definedName name="现金" localSheetId="6">#REF!</definedName>
    <definedName name="现金" localSheetId="7">#REF!</definedName>
    <definedName name="现金" localSheetId="8">#REF!</definedName>
    <definedName name="现金" localSheetId="1">#REF!</definedName>
    <definedName name="现金">#REF!</definedName>
    <definedName name="销售订单汇总表" localSheetId="3">#REF!</definedName>
    <definedName name="销售订单汇总表" localSheetId="4">#REF!</definedName>
    <definedName name="销售订单汇总表" localSheetId="5">#REF!</definedName>
    <definedName name="销售订单汇总表" localSheetId="6">#REF!</definedName>
    <definedName name="销售订单汇总表" localSheetId="7">#REF!</definedName>
    <definedName name="销售订单汇总表" localSheetId="8">#REF!</definedName>
    <definedName name="销售订单汇总表" localSheetId="1">#REF!</definedName>
    <definedName name="销售订单汇总表">#REF!</definedName>
    <definedName name="序时簿中心" localSheetId="3">#REF!</definedName>
    <definedName name="序时簿中心" localSheetId="4">#REF!</definedName>
    <definedName name="序时簿中心" localSheetId="5">#REF!</definedName>
    <definedName name="序时簿中心" localSheetId="6">#REF!</definedName>
    <definedName name="序时簿中心" localSheetId="7">#REF!</definedName>
    <definedName name="序时簿中心" localSheetId="8">#REF!</definedName>
    <definedName name="序时簿中心" localSheetId="1">#REF!</definedName>
    <definedName name="序时簿中心">#REF!</definedName>
    <definedName name="资金" localSheetId="3">#REF!</definedName>
    <definedName name="资金" localSheetId="4">#REF!</definedName>
    <definedName name="资金" localSheetId="5">#REF!</definedName>
    <definedName name="资金" localSheetId="6">#REF!</definedName>
    <definedName name="资金" localSheetId="7">#REF!</definedName>
    <definedName name="资金" localSheetId="8">#REF!</definedName>
    <definedName name="资金" localSheetId="1">#REF!</definedName>
    <definedName name="资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7" l="1"/>
  <c r="C6" i="17"/>
  <c r="C5" i="17"/>
  <c r="I6" i="17"/>
  <c r="H6" i="17"/>
  <c r="G6" i="17"/>
  <c r="F6" i="17"/>
  <c r="E6" i="17"/>
  <c r="I5" i="17"/>
  <c r="H5" i="17"/>
  <c r="G5" i="17"/>
  <c r="F5" i="17"/>
  <c r="E5" i="17"/>
  <c r="D6" i="17"/>
  <c r="D5" i="17"/>
  <c r="D7" i="17" l="1"/>
  <c r="J5" i="17"/>
  <c r="R5" i="17" l="1"/>
  <c r="R6" i="17" s="1"/>
  <c r="J7" i="17" l="1"/>
  <c r="K7" i="17"/>
  <c r="L7" i="17"/>
  <c r="M7" i="17"/>
  <c r="N7" i="17"/>
  <c r="O7" i="17"/>
  <c r="P7" i="17"/>
  <c r="Q7" i="17"/>
  <c r="V7" i="17"/>
  <c r="W7" i="17"/>
  <c r="X7" i="17"/>
  <c r="Y7" i="17"/>
  <c r="Z7" i="17"/>
  <c r="AA7" i="17"/>
  <c r="AB7" i="17"/>
  <c r="AC7" i="17"/>
  <c r="E7" i="17"/>
  <c r="F7" i="17"/>
  <c r="G7" i="17"/>
  <c r="H7" i="17"/>
  <c r="I7" i="17"/>
  <c r="C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BF7" i="17"/>
  <c r="AE7" i="17"/>
  <c r="AD7" i="17"/>
  <c r="BE122" i="9"/>
  <c r="BD122" i="9"/>
  <c r="BC122" i="9"/>
  <c r="BB122" i="9"/>
  <c r="BA122" i="9"/>
  <c r="AZ122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B122" i="9"/>
  <c r="AA122" i="9"/>
  <c r="Z122" i="9"/>
  <c r="X122" i="9"/>
  <c r="V122" i="9"/>
  <c r="R122" i="9"/>
  <c r="Q122" i="9"/>
  <c r="P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R121" i="9"/>
  <c r="BE120" i="9"/>
  <c r="R120" i="9"/>
  <c r="I120" i="9"/>
  <c r="H120" i="9"/>
  <c r="G120" i="9"/>
  <c r="F120" i="9"/>
  <c r="E120" i="9"/>
  <c r="D120" i="9"/>
  <c r="C120" i="9"/>
  <c r="R119" i="9"/>
  <c r="BE118" i="9"/>
  <c r="R118" i="9"/>
  <c r="I118" i="9"/>
  <c r="H118" i="9"/>
  <c r="G118" i="9"/>
  <c r="F118" i="9"/>
  <c r="E118" i="9"/>
  <c r="D118" i="9"/>
  <c r="C118" i="9"/>
  <c r="BE117" i="9"/>
  <c r="R117" i="9"/>
  <c r="I117" i="9"/>
  <c r="H117" i="9"/>
  <c r="G117" i="9"/>
  <c r="F117" i="9"/>
  <c r="E117" i="9"/>
  <c r="D117" i="9"/>
  <c r="C117" i="9"/>
  <c r="BE116" i="9"/>
  <c r="R116" i="9"/>
  <c r="I116" i="9"/>
  <c r="H116" i="9"/>
  <c r="G116" i="9"/>
  <c r="F116" i="9"/>
  <c r="E116" i="9"/>
  <c r="D116" i="9"/>
  <c r="C116" i="9"/>
  <c r="R115" i="9"/>
  <c r="I115" i="9"/>
  <c r="BE114" i="9"/>
  <c r="BD114" i="9"/>
  <c r="BC114" i="9"/>
  <c r="BB114" i="9"/>
  <c r="BA114" i="9"/>
  <c r="AZ114" i="9"/>
  <c r="AY114" i="9"/>
  <c r="AX114" i="9"/>
  <c r="AW114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R114" i="9"/>
  <c r="Q114" i="9"/>
  <c r="P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E113" i="9"/>
  <c r="R113" i="9"/>
  <c r="I113" i="9"/>
  <c r="H113" i="9"/>
  <c r="G113" i="9"/>
  <c r="F113" i="9"/>
  <c r="E113" i="9"/>
  <c r="D113" i="9"/>
  <c r="C113" i="9"/>
  <c r="BE112" i="9"/>
  <c r="R112" i="9"/>
  <c r="I112" i="9"/>
  <c r="H112" i="9"/>
  <c r="G112" i="9"/>
  <c r="F112" i="9"/>
  <c r="E112" i="9"/>
  <c r="D112" i="9"/>
  <c r="C112" i="9"/>
  <c r="BE111" i="9"/>
  <c r="R111" i="9"/>
  <c r="I111" i="9"/>
  <c r="H111" i="9"/>
  <c r="G111" i="9"/>
  <c r="F111" i="9"/>
  <c r="E111" i="9"/>
  <c r="D111" i="9"/>
  <c r="C111" i="9"/>
  <c r="BE110" i="9"/>
  <c r="R110" i="9"/>
  <c r="I110" i="9"/>
  <c r="H110" i="9"/>
  <c r="G110" i="9"/>
  <c r="F110" i="9"/>
  <c r="E110" i="9"/>
  <c r="D110" i="9"/>
  <c r="C110" i="9"/>
  <c r="BE109" i="9"/>
  <c r="R109" i="9"/>
  <c r="I109" i="9"/>
  <c r="H109" i="9"/>
  <c r="G109" i="9"/>
  <c r="F109" i="9"/>
  <c r="E109" i="9"/>
  <c r="D109" i="9"/>
  <c r="C109" i="9"/>
  <c r="BE108" i="9"/>
  <c r="R108" i="9"/>
  <c r="I108" i="9"/>
  <c r="H108" i="9"/>
  <c r="G108" i="9"/>
  <c r="F108" i="9"/>
  <c r="E108" i="9"/>
  <c r="D108" i="9"/>
  <c r="C108" i="9"/>
  <c r="BE107" i="9"/>
  <c r="R107" i="9"/>
  <c r="I107" i="9"/>
  <c r="H107" i="9"/>
  <c r="G107" i="9"/>
  <c r="F107" i="9"/>
  <c r="E107" i="9"/>
  <c r="D107" i="9"/>
  <c r="C107" i="9"/>
  <c r="BE106" i="9"/>
  <c r="R106" i="9"/>
  <c r="I106" i="9"/>
  <c r="H106" i="9"/>
  <c r="G106" i="9"/>
  <c r="F106" i="9"/>
  <c r="E106" i="9"/>
  <c r="D106" i="9"/>
  <c r="C106" i="9"/>
  <c r="BE105" i="9"/>
  <c r="R105" i="9"/>
  <c r="I105" i="9"/>
  <c r="H105" i="9"/>
  <c r="G105" i="9"/>
  <c r="F105" i="9"/>
  <c r="E105" i="9"/>
  <c r="D105" i="9"/>
  <c r="C105" i="9"/>
  <c r="BE104" i="9"/>
  <c r="R104" i="9"/>
  <c r="I104" i="9"/>
  <c r="H104" i="9"/>
  <c r="G104" i="9"/>
  <c r="F104" i="9"/>
  <c r="E104" i="9"/>
  <c r="D104" i="9"/>
  <c r="C104" i="9"/>
  <c r="BE103" i="9"/>
  <c r="R103" i="9"/>
  <c r="I103" i="9"/>
  <c r="H103" i="9"/>
  <c r="G103" i="9"/>
  <c r="F103" i="9"/>
  <c r="E103" i="9"/>
  <c r="D103" i="9"/>
  <c r="C103" i="9"/>
  <c r="BE102" i="9"/>
  <c r="R102" i="9"/>
  <c r="I102" i="9"/>
  <c r="H102" i="9"/>
  <c r="G102" i="9"/>
  <c r="F102" i="9"/>
  <c r="E102" i="9"/>
  <c r="D102" i="9"/>
  <c r="C102" i="9"/>
  <c r="BE101" i="9"/>
  <c r="R101" i="9"/>
  <c r="I101" i="9"/>
  <c r="H101" i="9"/>
  <c r="G101" i="9"/>
  <c r="F101" i="9"/>
  <c r="E101" i="9"/>
  <c r="D101" i="9"/>
  <c r="C101" i="9"/>
  <c r="BE100" i="9"/>
  <c r="R100" i="9"/>
  <c r="I100" i="9"/>
  <c r="H100" i="9"/>
  <c r="G100" i="9"/>
  <c r="F100" i="9"/>
  <c r="E100" i="9"/>
  <c r="D100" i="9"/>
  <c r="C100" i="9"/>
  <c r="BE99" i="9"/>
  <c r="R99" i="9"/>
  <c r="I99" i="9"/>
  <c r="H99" i="9"/>
  <c r="G99" i="9"/>
  <c r="F99" i="9"/>
  <c r="E99" i="9"/>
  <c r="D99" i="9"/>
  <c r="C99" i="9"/>
  <c r="BE98" i="9"/>
  <c r="R98" i="9"/>
  <c r="I98" i="9"/>
  <c r="H98" i="9"/>
  <c r="G98" i="9"/>
  <c r="F98" i="9"/>
  <c r="E98" i="9"/>
  <c r="D98" i="9"/>
  <c r="C98" i="9"/>
  <c r="BE97" i="9"/>
  <c r="R97" i="9"/>
  <c r="I97" i="9"/>
  <c r="H97" i="9"/>
  <c r="G97" i="9"/>
  <c r="F97" i="9"/>
  <c r="E97" i="9"/>
  <c r="D97" i="9"/>
  <c r="C97" i="9"/>
  <c r="BE96" i="9"/>
  <c r="R96" i="9"/>
  <c r="I96" i="9"/>
  <c r="H96" i="9"/>
  <c r="G96" i="9"/>
  <c r="F96" i="9"/>
  <c r="E96" i="9"/>
  <c r="D96" i="9"/>
  <c r="C96" i="9"/>
  <c r="BE95" i="9"/>
  <c r="R95" i="9"/>
  <c r="I95" i="9"/>
  <c r="H95" i="9"/>
  <c r="G95" i="9"/>
  <c r="F95" i="9"/>
  <c r="E95" i="9"/>
  <c r="D95" i="9"/>
  <c r="C95" i="9"/>
  <c r="BE94" i="9"/>
  <c r="R94" i="9"/>
  <c r="I94" i="9"/>
  <c r="H94" i="9"/>
  <c r="G94" i="9"/>
  <c r="F94" i="9"/>
  <c r="E94" i="9"/>
  <c r="D94" i="9"/>
  <c r="C94" i="9"/>
  <c r="BE93" i="9"/>
  <c r="R93" i="9"/>
  <c r="I93" i="9"/>
  <c r="H93" i="9"/>
  <c r="G93" i="9"/>
  <c r="F93" i="9"/>
  <c r="E93" i="9"/>
  <c r="D93" i="9"/>
  <c r="C93" i="9"/>
  <c r="BE92" i="9"/>
  <c r="R92" i="9"/>
  <c r="I92" i="9"/>
  <c r="H92" i="9"/>
  <c r="G92" i="9"/>
  <c r="F92" i="9"/>
  <c r="E92" i="9"/>
  <c r="D92" i="9"/>
  <c r="C92" i="9"/>
  <c r="BE91" i="9"/>
  <c r="R91" i="9"/>
  <c r="I91" i="9"/>
  <c r="H91" i="9"/>
  <c r="G91" i="9"/>
  <c r="F91" i="9"/>
  <c r="E91" i="9"/>
  <c r="D91" i="9"/>
  <c r="C91" i="9"/>
  <c r="BE90" i="9"/>
  <c r="R90" i="9"/>
  <c r="I90" i="9"/>
  <c r="H90" i="9"/>
  <c r="G90" i="9"/>
  <c r="F90" i="9"/>
  <c r="E90" i="9"/>
  <c r="D90" i="9"/>
  <c r="C90" i="9"/>
  <c r="BE89" i="9"/>
  <c r="R89" i="9"/>
  <c r="I89" i="9"/>
  <c r="H89" i="9"/>
  <c r="G89" i="9"/>
  <c r="F89" i="9"/>
  <c r="E89" i="9"/>
  <c r="D89" i="9"/>
  <c r="C89" i="9"/>
  <c r="BE88" i="9"/>
  <c r="R88" i="9"/>
  <c r="I88" i="9"/>
  <c r="H88" i="9"/>
  <c r="G88" i="9"/>
  <c r="F88" i="9"/>
  <c r="E88" i="9"/>
  <c r="D88" i="9"/>
  <c r="C88" i="9"/>
  <c r="BE87" i="9"/>
  <c r="R87" i="9"/>
  <c r="I87" i="9"/>
  <c r="H87" i="9"/>
  <c r="G87" i="9"/>
  <c r="F87" i="9"/>
  <c r="E87" i="9"/>
  <c r="D87" i="9"/>
  <c r="C87" i="9"/>
  <c r="BE86" i="9"/>
  <c r="R86" i="9"/>
  <c r="I86" i="9"/>
  <c r="H86" i="9"/>
  <c r="G86" i="9"/>
  <c r="F86" i="9"/>
  <c r="E86" i="9"/>
  <c r="D86" i="9"/>
  <c r="C86" i="9"/>
  <c r="BE85" i="9"/>
  <c r="R85" i="9"/>
  <c r="I85" i="9"/>
  <c r="H85" i="9"/>
  <c r="G85" i="9"/>
  <c r="F85" i="9"/>
  <c r="E85" i="9"/>
  <c r="D85" i="9"/>
  <c r="C85" i="9"/>
  <c r="BE84" i="9"/>
  <c r="R84" i="9"/>
  <c r="I84" i="9"/>
  <c r="H84" i="9"/>
  <c r="G84" i="9"/>
  <c r="F84" i="9"/>
  <c r="E84" i="9"/>
  <c r="D84" i="9"/>
  <c r="C84" i="9"/>
  <c r="BE83" i="9"/>
  <c r="R83" i="9"/>
  <c r="I83" i="9"/>
  <c r="H83" i="9"/>
  <c r="G83" i="9"/>
  <c r="F83" i="9"/>
  <c r="E83" i="9"/>
  <c r="D83" i="9"/>
  <c r="C83" i="9"/>
  <c r="BE82" i="9"/>
  <c r="R82" i="9"/>
  <c r="I82" i="9"/>
  <c r="H82" i="9"/>
  <c r="G82" i="9"/>
  <c r="F82" i="9"/>
  <c r="E82" i="9"/>
  <c r="D82" i="9"/>
  <c r="C82" i="9"/>
  <c r="BE81" i="9"/>
  <c r="R81" i="9"/>
  <c r="I81" i="9"/>
  <c r="H81" i="9"/>
  <c r="G81" i="9"/>
  <c r="F81" i="9"/>
  <c r="E81" i="9"/>
  <c r="D81" i="9"/>
  <c r="C81" i="9"/>
  <c r="BE80" i="9"/>
  <c r="R80" i="9"/>
  <c r="I80" i="9"/>
  <c r="H80" i="9"/>
  <c r="G80" i="9"/>
  <c r="F80" i="9"/>
  <c r="E80" i="9"/>
  <c r="D80" i="9"/>
  <c r="C80" i="9"/>
  <c r="BE79" i="9"/>
  <c r="R79" i="9"/>
  <c r="I79" i="9"/>
  <c r="H79" i="9"/>
  <c r="G79" i="9"/>
  <c r="F79" i="9"/>
  <c r="E79" i="9"/>
  <c r="D79" i="9"/>
  <c r="C79" i="9"/>
  <c r="BE78" i="9"/>
  <c r="R78" i="9"/>
  <c r="I78" i="9"/>
  <c r="H78" i="9"/>
  <c r="G78" i="9"/>
  <c r="F78" i="9"/>
  <c r="E78" i="9"/>
  <c r="D78" i="9"/>
  <c r="C78" i="9"/>
  <c r="BE77" i="9"/>
  <c r="R77" i="9"/>
  <c r="I77" i="9"/>
  <c r="H77" i="9"/>
  <c r="G77" i="9"/>
  <c r="F77" i="9"/>
  <c r="E77" i="9"/>
  <c r="D77" i="9"/>
  <c r="C77" i="9"/>
  <c r="BE76" i="9"/>
  <c r="R76" i="9"/>
  <c r="I76" i="9"/>
  <c r="H76" i="9"/>
  <c r="G76" i="9"/>
  <c r="F76" i="9"/>
  <c r="E76" i="9"/>
  <c r="D76" i="9"/>
  <c r="C76" i="9"/>
  <c r="BE75" i="9"/>
  <c r="R75" i="9"/>
  <c r="I75" i="9"/>
  <c r="H75" i="9"/>
  <c r="G75" i="9"/>
  <c r="F75" i="9"/>
  <c r="E75" i="9"/>
  <c r="D75" i="9"/>
  <c r="C75" i="9"/>
  <c r="BE74" i="9"/>
  <c r="R74" i="9"/>
  <c r="I74" i="9"/>
  <c r="H74" i="9"/>
  <c r="G74" i="9"/>
  <c r="F74" i="9"/>
  <c r="E74" i="9"/>
  <c r="D74" i="9"/>
  <c r="C74" i="9"/>
  <c r="BE73" i="9"/>
  <c r="R73" i="9"/>
  <c r="I73" i="9"/>
  <c r="H73" i="9"/>
  <c r="G73" i="9"/>
  <c r="F73" i="9"/>
  <c r="E73" i="9"/>
  <c r="D73" i="9"/>
  <c r="C73" i="9"/>
  <c r="BE72" i="9"/>
  <c r="R72" i="9"/>
  <c r="I72" i="9"/>
  <c r="H72" i="9"/>
  <c r="G72" i="9"/>
  <c r="F72" i="9"/>
  <c r="E72" i="9"/>
  <c r="D72" i="9"/>
  <c r="C72" i="9"/>
  <c r="BE71" i="9"/>
  <c r="R71" i="9"/>
  <c r="I71" i="9"/>
  <c r="H71" i="9"/>
  <c r="G71" i="9"/>
  <c r="F71" i="9"/>
  <c r="E71" i="9"/>
  <c r="D71" i="9"/>
  <c r="C71" i="9"/>
  <c r="BE70" i="9"/>
  <c r="R70" i="9"/>
  <c r="I70" i="9"/>
  <c r="H70" i="9"/>
  <c r="G70" i="9"/>
  <c r="F70" i="9"/>
  <c r="E70" i="9"/>
  <c r="D70" i="9"/>
  <c r="C70" i="9"/>
  <c r="BE69" i="9"/>
  <c r="R69" i="9"/>
  <c r="I69" i="9"/>
  <c r="H69" i="9"/>
  <c r="G69" i="9"/>
  <c r="F69" i="9"/>
  <c r="E69" i="9"/>
  <c r="D69" i="9"/>
  <c r="C69" i="9"/>
  <c r="BE68" i="9"/>
  <c r="R68" i="9"/>
  <c r="I68" i="9"/>
  <c r="H68" i="9"/>
  <c r="G68" i="9"/>
  <c r="F68" i="9"/>
  <c r="E68" i="9"/>
  <c r="D68" i="9"/>
  <c r="C68" i="9"/>
  <c r="BE67" i="9"/>
  <c r="R67" i="9"/>
  <c r="I67" i="9"/>
  <c r="H67" i="9"/>
  <c r="G67" i="9"/>
  <c r="F67" i="9"/>
  <c r="E67" i="9"/>
  <c r="D67" i="9"/>
  <c r="C67" i="9"/>
  <c r="BE66" i="9"/>
  <c r="R66" i="9"/>
  <c r="I66" i="9"/>
  <c r="H66" i="9"/>
  <c r="G66" i="9"/>
  <c r="F66" i="9"/>
  <c r="E66" i="9"/>
  <c r="D66" i="9"/>
  <c r="C66" i="9"/>
  <c r="BE65" i="9"/>
  <c r="R65" i="9"/>
  <c r="I65" i="9"/>
  <c r="H65" i="9"/>
  <c r="G65" i="9"/>
  <c r="F65" i="9"/>
  <c r="E65" i="9"/>
  <c r="D65" i="9"/>
  <c r="C65" i="9"/>
  <c r="BE64" i="9"/>
  <c r="R64" i="9"/>
  <c r="I64" i="9"/>
  <c r="H64" i="9"/>
  <c r="G64" i="9"/>
  <c r="F64" i="9"/>
  <c r="E64" i="9"/>
  <c r="D64" i="9"/>
  <c r="C64" i="9"/>
  <c r="BE63" i="9"/>
  <c r="R63" i="9"/>
  <c r="I63" i="9"/>
  <c r="H63" i="9"/>
  <c r="G63" i="9"/>
  <c r="F63" i="9"/>
  <c r="E63" i="9"/>
  <c r="D63" i="9"/>
  <c r="C63" i="9"/>
  <c r="BE62" i="9"/>
  <c r="R62" i="9"/>
  <c r="I62" i="9"/>
  <c r="H62" i="9"/>
  <c r="G62" i="9"/>
  <c r="F62" i="9"/>
  <c r="E62" i="9"/>
  <c r="D62" i="9"/>
  <c r="C62" i="9"/>
  <c r="BE61" i="9"/>
  <c r="R61" i="9"/>
  <c r="I61" i="9"/>
  <c r="H61" i="9"/>
  <c r="G61" i="9"/>
  <c r="F61" i="9"/>
  <c r="E61" i="9"/>
  <c r="D61" i="9"/>
  <c r="C61" i="9"/>
  <c r="BE60" i="9"/>
  <c r="R60" i="9"/>
  <c r="I60" i="9"/>
  <c r="H60" i="9"/>
  <c r="G60" i="9"/>
  <c r="F60" i="9"/>
  <c r="E60" i="9"/>
  <c r="D60" i="9"/>
  <c r="C60" i="9"/>
  <c r="BE59" i="9"/>
  <c r="R59" i="9"/>
  <c r="I59" i="9"/>
  <c r="H59" i="9"/>
  <c r="G59" i="9"/>
  <c r="F59" i="9"/>
  <c r="E59" i="9"/>
  <c r="D59" i="9"/>
  <c r="C59" i="9"/>
  <c r="BE58" i="9"/>
  <c r="R58" i="9"/>
  <c r="I58" i="9"/>
  <c r="H58" i="9"/>
  <c r="G58" i="9"/>
  <c r="F58" i="9"/>
  <c r="E58" i="9"/>
  <c r="D58" i="9"/>
  <c r="C58" i="9"/>
  <c r="BE57" i="9"/>
  <c r="R57" i="9"/>
  <c r="I57" i="9"/>
  <c r="H57" i="9"/>
  <c r="G57" i="9"/>
  <c r="F57" i="9"/>
  <c r="E57" i="9"/>
  <c r="D57" i="9"/>
  <c r="C57" i="9"/>
  <c r="BE56" i="9"/>
  <c r="R56" i="9"/>
  <c r="I56" i="9"/>
  <c r="H56" i="9"/>
  <c r="G56" i="9"/>
  <c r="F56" i="9"/>
  <c r="E56" i="9"/>
  <c r="D56" i="9"/>
  <c r="C56" i="9"/>
  <c r="BE55" i="9"/>
  <c r="R55" i="9"/>
  <c r="I55" i="9"/>
  <c r="H55" i="9"/>
  <c r="G55" i="9"/>
  <c r="F55" i="9"/>
  <c r="E55" i="9"/>
  <c r="D55" i="9"/>
  <c r="C55" i="9"/>
  <c r="BE54" i="9"/>
  <c r="R54" i="9"/>
  <c r="I54" i="9"/>
  <c r="H54" i="9"/>
  <c r="G54" i="9"/>
  <c r="F54" i="9"/>
  <c r="E54" i="9"/>
  <c r="D54" i="9"/>
  <c r="C54" i="9"/>
  <c r="BE53" i="9"/>
  <c r="R53" i="9"/>
  <c r="I53" i="9"/>
  <c r="H53" i="9"/>
  <c r="G53" i="9"/>
  <c r="F53" i="9"/>
  <c r="E53" i="9"/>
  <c r="D53" i="9"/>
  <c r="C53" i="9"/>
  <c r="BE52" i="9"/>
  <c r="R52" i="9"/>
  <c r="I52" i="9"/>
  <c r="H52" i="9"/>
  <c r="G52" i="9"/>
  <c r="F52" i="9"/>
  <c r="E52" i="9"/>
  <c r="D52" i="9"/>
  <c r="C52" i="9"/>
  <c r="BE51" i="9"/>
  <c r="R51" i="9"/>
  <c r="I51" i="9"/>
  <c r="H51" i="9"/>
  <c r="G51" i="9"/>
  <c r="F51" i="9"/>
  <c r="E51" i="9"/>
  <c r="D51" i="9"/>
  <c r="C51" i="9"/>
  <c r="BE50" i="9"/>
  <c r="R50" i="9"/>
  <c r="I50" i="9"/>
  <c r="H50" i="9"/>
  <c r="G50" i="9"/>
  <c r="F50" i="9"/>
  <c r="E50" i="9"/>
  <c r="D50" i="9"/>
  <c r="C50" i="9"/>
  <c r="BE49" i="9"/>
  <c r="R49" i="9"/>
  <c r="I49" i="9"/>
  <c r="H49" i="9"/>
  <c r="G49" i="9"/>
  <c r="F49" i="9"/>
  <c r="E49" i="9"/>
  <c r="D49" i="9"/>
  <c r="C49" i="9"/>
  <c r="BE48" i="9"/>
  <c r="R48" i="9"/>
  <c r="I48" i="9"/>
  <c r="H48" i="9"/>
  <c r="G48" i="9"/>
  <c r="F48" i="9"/>
  <c r="E48" i="9"/>
  <c r="D48" i="9"/>
  <c r="C48" i="9"/>
  <c r="BE47" i="9"/>
  <c r="R47" i="9"/>
  <c r="I47" i="9"/>
  <c r="H47" i="9"/>
  <c r="G47" i="9"/>
  <c r="F47" i="9"/>
  <c r="E47" i="9"/>
  <c r="D47" i="9"/>
  <c r="C47" i="9"/>
  <c r="R46" i="9"/>
  <c r="I46" i="9"/>
  <c r="H46" i="9"/>
  <c r="G46" i="9"/>
  <c r="F46" i="9"/>
  <c r="E46" i="9"/>
  <c r="D46" i="9"/>
  <c r="C46" i="9"/>
  <c r="BE45" i="9"/>
  <c r="R45" i="9"/>
  <c r="I45" i="9"/>
  <c r="H45" i="9"/>
  <c r="G45" i="9"/>
  <c r="F45" i="9"/>
  <c r="E45" i="9"/>
  <c r="D45" i="9"/>
  <c r="C45" i="9"/>
  <c r="BE44" i="9"/>
  <c r="R44" i="9"/>
  <c r="I44" i="9"/>
  <c r="H44" i="9"/>
  <c r="G44" i="9"/>
  <c r="F44" i="9"/>
  <c r="E44" i="9"/>
  <c r="D44" i="9"/>
  <c r="C44" i="9"/>
  <c r="BE43" i="9"/>
  <c r="R43" i="9"/>
  <c r="I43" i="9"/>
  <c r="H43" i="9"/>
  <c r="G43" i="9"/>
  <c r="F43" i="9"/>
  <c r="E43" i="9"/>
  <c r="D43" i="9"/>
  <c r="C43" i="9"/>
  <c r="BE42" i="9"/>
  <c r="R42" i="9"/>
  <c r="I42" i="9"/>
  <c r="H42" i="9"/>
  <c r="G42" i="9"/>
  <c r="F42" i="9"/>
  <c r="E42" i="9"/>
  <c r="D42" i="9"/>
  <c r="C42" i="9"/>
  <c r="BE41" i="9"/>
  <c r="R41" i="9"/>
  <c r="I41" i="9"/>
  <c r="H41" i="9"/>
  <c r="G41" i="9"/>
  <c r="F41" i="9"/>
  <c r="E41" i="9"/>
  <c r="D41" i="9"/>
  <c r="C41" i="9"/>
  <c r="BE40" i="9"/>
  <c r="R40" i="9"/>
  <c r="I40" i="9"/>
  <c r="H40" i="9"/>
  <c r="G40" i="9"/>
  <c r="F40" i="9"/>
  <c r="E40" i="9"/>
  <c r="D40" i="9"/>
  <c r="C40" i="9"/>
  <c r="BE39" i="9"/>
  <c r="R39" i="9"/>
  <c r="I39" i="9"/>
  <c r="H39" i="9"/>
  <c r="G39" i="9"/>
  <c r="F39" i="9"/>
  <c r="E39" i="9"/>
  <c r="D39" i="9"/>
  <c r="C39" i="9"/>
  <c r="BE38" i="9"/>
  <c r="R38" i="9"/>
  <c r="I38" i="9"/>
  <c r="H38" i="9"/>
  <c r="G38" i="9"/>
  <c r="F38" i="9"/>
  <c r="E38" i="9"/>
  <c r="D38" i="9"/>
  <c r="C38" i="9"/>
  <c r="BE37" i="9"/>
  <c r="R37" i="9"/>
  <c r="I37" i="9"/>
  <c r="H37" i="9"/>
  <c r="G37" i="9"/>
  <c r="F37" i="9"/>
  <c r="E37" i="9"/>
  <c r="D37" i="9"/>
  <c r="C37" i="9"/>
  <c r="BE36" i="9"/>
  <c r="R36" i="9"/>
  <c r="I36" i="9"/>
  <c r="H36" i="9"/>
  <c r="G36" i="9"/>
  <c r="F36" i="9"/>
  <c r="E36" i="9"/>
  <c r="D36" i="9"/>
  <c r="C36" i="9"/>
  <c r="BE35" i="9"/>
  <c r="R35" i="9"/>
  <c r="I35" i="9"/>
  <c r="H35" i="9"/>
  <c r="G35" i="9"/>
  <c r="F35" i="9"/>
  <c r="E35" i="9"/>
  <c r="D35" i="9"/>
  <c r="C35" i="9"/>
  <c r="BE34" i="9"/>
  <c r="R34" i="9"/>
  <c r="I34" i="9"/>
  <c r="H34" i="9"/>
  <c r="G34" i="9"/>
  <c r="F34" i="9"/>
  <c r="E34" i="9"/>
  <c r="D34" i="9"/>
  <c r="C34" i="9"/>
  <c r="BE33" i="9"/>
  <c r="R33" i="9"/>
  <c r="I33" i="9"/>
  <c r="H33" i="9"/>
  <c r="G33" i="9"/>
  <c r="F33" i="9"/>
  <c r="E33" i="9"/>
  <c r="D33" i="9"/>
  <c r="C33" i="9"/>
  <c r="BE32" i="9"/>
  <c r="R32" i="9"/>
  <c r="I32" i="9"/>
  <c r="H32" i="9"/>
  <c r="G32" i="9"/>
  <c r="F32" i="9"/>
  <c r="E32" i="9"/>
  <c r="D32" i="9"/>
  <c r="C32" i="9"/>
  <c r="BE31" i="9"/>
  <c r="R31" i="9"/>
  <c r="I31" i="9"/>
  <c r="H31" i="9"/>
  <c r="G31" i="9"/>
  <c r="F31" i="9"/>
  <c r="E31" i="9"/>
  <c r="D31" i="9"/>
  <c r="C31" i="9"/>
  <c r="BE30" i="9"/>
  <c r="R30" i="9"/>
  <c r="I30" i="9"/>
  <c r="H30" i="9"/>
  <c r="G30" i="9"/>
  <c r="F30" i="9"/>
  <c r="E30" i="9"/>
  <c r="D30" i="9"/>
  <c r="C30" i="9"/>
  <c r="BE29" i="9"/>
  <c r="R29" i="9"/>
  <c r="I29" i="9"/>
  <c r="H29" i="9"/>
  <c r="G29" i="9"/>
  <c r="F29" i="9"/>
  <c r="E29" i="9"/>
  <c r="D29" i="9"/>
  <c r="C29" i="9"/>
  <c r="BE28" i="9"/>
  <c r="R28" i="9"/>
  <c r="I28" i="9"/>
  <c r="H28" i="9"/>
  <c r="G28" i="9"/>
  <c r="F28" i="9"/>
  <c r="E28" i="9"/>
  <c r="D28" i="9"/>
  <c r="C28" i="9"/>
  <c r="BE27" i="9"/>
  <c r="R27" i="9"/>
  <c r="I27" i="9"/>
  <c r="H27" i="9"/>
  <c r="G27" i="9"/>
  <c r="F27" i="9"/>
  <c r="E27" i="9"/>
  <c r="D27" i="9"/>
  <c r="C27" i="9"/>
  <c r="BE26" i="9"/>
  <c r="R26" i="9"/>
  <c r="I26" i="9"/>
  <c r="H26" i="9"/>
  <c r="G26" i="9"/>
  <c r="F26" i="9"/>
  <c r="E26" i="9"/>
  <c r="D26" i="9"/>
  <c r="C26" i="9"/>
  <c r="BE25" i="9"/>
  <c r="R25" i="9"/>
  <c r="I25" i="9"/>
  <c r="H25" i="9"/>
  <c r="G25" i="9"/>
  <c r="F25" i="9"/>
  <c r="E25" i="9"/>
  <c r="D25" i="9"/>
  <c r="C25" i="9"/>
  <c r="BE24" i="9"/>
  <c r="R24" i="9"/>
  <c r="I24" i="9"/>
  <c r="H24" i="9"/>
  <c r="G24" i="9"/>
  <c r="F24" i="9"/>
  <c r="E24" i="9"/>
  <c r="D24" i="9"/>
  <c r="C24" i="9"/>
  <c r="BE23" i="9"/>
  <c r="R23" i="9"/>
  <c r="I23" i="9"/>
  <c r="H23" i="9"/>
  <c r="G23" i="9"/>
  <c r="F23" i="9"/>
  <c r="E23" i="9"/>
  <c r="D23" i="9"/>
  <c r="C23" i="9"/>
  <c r="BE22" i="9"/>
  <c r="R22" i="9"/>
  <c r="I22" i="9"/>
  <c r="H22" i="9"/>
  <c r="G22" i="9"/>
  <c r="F22" i="9"/>
  <c r="E22" i="9"/>
  <c r="D22" i="9"/>
  <c r="C22" i="9"/>
  <c r="BE21" i="9"/>
  <c r="R21" i="9"/>
  <c r="I21" i="9"/>
  <c r="H21" i="9"/>
  <c r="G21" i="9"/>
  <c r="F21" i="9"/>
  <c r="E21" i="9"/>
  <c r="D21" i="9"/>
  <c r="C21" i="9"/>
  <c r="BE20" i="9"/>
  <c r="R20" i="9"/>
  <c r="I20" i="9"/>
  <c r="H20" i="9"/>
  <c r="G20" i="9"/>
  <c r="F20" i="9"/>
  <c r="E20" i="9"/>
  <c r="D20" i="9"/>
  <c r="C20" i="9"/>
  <c r="BE19" i="9"/>
  <c r="R19" i="9"/>
  <c r="I19" i="9"/>
  <c r="H19" i="9"/>
  <c r="G19" i="9"/>
  <c r="F19" i="9"/>
  <c r="E19" i="9"/>
  <c r="D19" i="9"/>
  <c r="C19" i="9"/>
  <c r="BE18" i="9"/>
  <c r="R18" i="9"/>
  <c r="I18" i="9"/>
  <c r="H18" i="9"/>
  <c r="G18" i="9"/>
  <c r="F18" i="9"/>
  <c r="E18" i="9"/>
  <c r="D18" i="9"/>
  <c r="C18" i="9"/>
  <c r="BE17" i="9"/>
  <c r="R17" i="9"/>
  <c r="I17" i="9"/>
  <c r="H17" i="9"/>
  <c r="G17" i="9"/>
  <c r="F17" i="9"/>
  <c r="E17" i="9"/>
  <c r="D17" i="9"/>
  <c r="C17" i="9"/>
  <c r="BE16" i="9"/>
  <c r="R16" i="9"/>
  <c r="I16" i="9"/>
  <c r="H16" i="9"/>
  <c r="G16" i="9"/>
  <c r="F16" i="9"/>
  <c r="E16" i="9"/>
  <c r="D16" i="9"/>
  <c r="C16" i="9"/>
  <c r="BE15" i="9"/>
  <c r="R15" i="9"/>
  <c r="I15" i="9"/>
  <c r="H15" i="9"/>
  <c r="G15" i="9"/>
  <c r="F15" i="9"/>
  <c r="E15" i="9"/>
  <c r="D15" i="9"/>
  <c r="C15" i="9"/>
  <c r="BE14" i="9"/>
  <c r="R14" i="9"/>
  <c r="I14" i="9"/>
  <c r="H14" i="9"/>
  <c r="G14" i="9"/>
  <c r="F14" i="9"/>
  <c r="E14" i="9"/>
  <c r="D14" i="9"/>
  <c r="C14" i="9"/>
  <c r="BE13" i="9"/>
  <c r="R13" i="9"/>
  <c r="I13" i="9"/>
  <c r="H13" i="9"/>
  <c r="G13" i="9"/>
  <c r="F13" i="9"/>
  <c r="E13" i="9"/>
  <c r="D13" i="9"/>
  <c r="C13" i="9"/>
  <c r="BE12" i="9"/>
  <c r="R12" i="9"/>
  <c r="I12" i="9"/>
  <c r="H12" i="9"/>
  <c r="G12" i="9"/>
  <c r="F12" i="9"/>
  <c r="E12" i="9"/>
  <c r="D12" i="9"/>
  <c r="C12" i="9"/>
  <c r="BE11" i="9"/>
  <c r="R11" i="9"/>
  <c r="I11" i="9"/>
  <c r="H11" i="9"/>
  <c r="G11" i="9"/>
  <c r="F11" i="9"/>
  <c r="E11" i="9"/>
  <c r="D11" i="9"/>
  <c r="C11" i="9"/>
  <c r="BE10" i="9"/>
  <c r="R10" i="9"/>
  <c r="I10" i="9"/>
  <c r="H10" i="9"/>
  <c r="G10" i="9"/>
  <c r="F10" i="9"/>
  <c r="E10" i="9"/>
  <c r="D10" i="9"/>
  <c r="C10" i="9"/>
  <c r="BE9" i="9"/>
  <c r="R9" i="9"/>
  <c r="I9" i="9"/>
  <c r="H9" i="9"/>
  <c r="G9" i="9"/>
  <c r="F9" i="9"/>
  <c r="E9" i="9"/>
  <c r="D9" i="9"/>
  <c r="C9" i="9"/>
  <c r="BE8" i="9"/>
  <c r="R8" i="9"/>
  <c r="I8" i="9"/>
  <c r="H8" i="9"/>
  <c r="G8" i="9"/>
  <c r="F8" i="9"/>
  <c r="E8" i="9"/>
  <c r="D8" i="9"/>
  <c r="C8" i="9"/>
  <c r="BE7" i="9"/>
  <c r="R7" i="9"/>
  <c r="I7" i="9"/>
  <c r="H7" i="9"/>
  <c r="G7" i="9"/>
  <c r="F7" i="9"/>
  <c r="E7" i="9"/>
  <c r="D7" i="9"/>
  <c r="C7" i="9"/>
  <c r="BE6" i="9"/>
  <c r="R6" i="9"/>
  <c r="I6" i="9"/>
  <c r="H6" i="9"/>
  <c r="G6" i="9"/>
  <c r="F6" i="9"/>
  <c r="E6" i="9"/>
  <c r="D6" i="9"/>
  <c r="C6" i="9"/>
  <c r="BE5" i="9"/>
  <c r="R5" i="9"/>
  <c r="I5" i="9"/>
  <c r="H5" i="9"/>
  <c r="G5" i="9"/>
  <c r="F5" i="9"/>
  <c r="E5" i="9"/>
  <c r="D5" i="9"/>
  <c r="C5" i="9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B122" i="4"/>
  <c r="AA122" i="4"/>
  <c r="Z122" i="4"/>
  <c r="X122" i="4"/>
  <c r="V122" i="4"/>
  <c r="R122" i="4"/>
  <c r="Q122" i="4"/>
  <c r="P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R121" i="4"/>
  <c r="BE120" i="4"/>
  <c r="R120" i="4"/>
  <c r="I120" i="4"/>
  <c r="H120" i="4"/>
  <c r="G120" i="4"/>
  <c r="F120" i="4"/>
  <c r="E120" i="4"/>
  <c r="D120" i="4"/>
  <c r="C120" i="4"/>
  <c r="R119" i="4"/>
  <c r="BE118" i="4"/>
  <c r="R118" i="4"/>
  <c r="I118" i="4"/>
  <c r="H118" i="4"/>
  <c r="G118" i="4"/>
  <c r="F118" i="4"/>
  <c r="E118" i="4"/>
  <c r="D118" i="4"/>
  <c r="C118" i="4"/>
  <c r="BE117" i="4"/>
  <c r="R117" i="4"/>
  <c r="I117" i="4"/>
  <c r="H117" i="4"/>
  <c r="G117" i="4"/>
  <c r="F117" i="4"/>
  <c r="E117" i="4"/>
  <c r="D117" i="4"/>
  <c r="C117" i="4"/>
  <c r="BE116" i="4"/>
  <c r="R116" i="4"/>
  <c r="I116" i="4"/>
  <c r="H116" i="4"/>
  <c r="G116" i="4"/>
  <c r="F116" i="4"/>
  <c r="E116" i="4"/>
  <c r="D116" i="4"/>
  <c r="C116" i="4"/>
  <c r="R115" i="4"/>
  <c r="I115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R114" i="4"/>
  <c r="Q114" i="4"/>
  <c r="P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E113" i="4"/>
  <c r="R113" i="4"/>
  <c r="I113" i="4"/>
  <c r="H113" i="4"/>
  <c r="G113" i="4"/>
  <c r="F113" i="4"/>
  <c r="E113" i="4"/>
  <c r="D113" i="4"/>
  <c r="C113" i="4"/>
  <c r="BE112" i="4"/>
  <c r="R112" i="4"/>
  <c r="I112" i="4"/>
  <c r="H112" i="4"/>
  <c r="G112" i="4"/>
  <c r="F112" i="4"/>
  <c r="E112" i="4"/>
  <c r="D112" i="4"/>
  <c r="C112" i="4"/>
  <c r="BE111" i="4"/>
  <c r="R111" i="4"/>
  <c r="I111" i="4"/>
  <c r="H111" i="4"/>
  <c r="G111" i="4"/>
  <c r="F111" i="4"/>
  <c r="E111" i="4"/>
  <c r="D111" i="4"/>
  <c r="C111" i="4"/>
  <c r="BE110" i="4"/>
  <c r="R110" i="4"/>
  <c r="I110" i="4"/>
  <c r="H110" i="4"/>
  <c r="G110" i="4"/>
  <c r="F110" i="4"/>
  <c r="E110" i="4"/>
  <c r="D110" i="4"/>
  <c r="C110" i="4"/>
  <c r="BE109" i="4"/>
  <c r="R109" i="4"/>
  <c r="I109" i="4"/>
  <c r="H109" i="4"/>
  <c r="G109" i="4"/>
  <c r="F109" i="4"/>
  <c r="E109" i="4"/>
  <c r="D109" i="4"/>
  <c r="C109" i="4"/>
  <c r="BE108" i="4"/>
  <c r="R108" i="4"/>
  <c r="I108" i="4"/>
  <c r="H108" i="4"/>
  <c r="G108" i="4"/>
  <c r="F108" i="4"/>
  <c r="E108" i="4"/>
  <c r="D108" i="4"/>
  <c r="C108" i="4"/>
  <c r="BE107" i="4"/>
  <c r="R107" i="4"/>
  <c r="I107" i="4"/>
  <c r="H107" i="4"/>
  <c r="G107" i="4"/>
  <c r="F107" i="4"/>
  <c r="E107" i="4"/>
  <c r="D107" i="4"/>
  <c r="C107" i="4"/>
  <c r="BE106" i="4"/>
  <c r="R106" i="4"/>
  <c r="I106" i="4"/>
  <c r="H106" i="4"/>
  <c r="G106" i="4"/>
  <c r="F106" i="4"/>
  <c r="E106" i="4"/>
  <c r="D106" i="4"/>
  <c r="C106" i="4"/>
  <c r="BE105" i="4"/>
  <c r="R105" i="4"/>
  <c r="I105" i="4"/>
  <c r="H105" i="4"/>
  <c r="G105" i="4"/>
  <c r="F105" i="4"/>
  <c r="E105" i="4"/>
  <c r="D105" i="4"/>
  <c r="C105" i="4"/>
  <c r="BE104" i="4"/>
  <c r="R104" i="4"/>
  <c r="I104" i="4"/>
  <c r="H104" i="4"/>
  <c r="G104" i="4"/>
  <c r="F104" i="4"/>
  <c r="E104" i="4"/>
  <c r="D104" i="4"/>
  <c r="C104" i="4"/>
  <c r="BE103" i="4"/>
  <c r="R103" i="4"/>
  <c r="I103" i="4"/>
  <c r="H103" i="4"/>
  <c r="G103" i="4"/>
  <c r="F103" i="4"/>
  <c r="E103" i="4"/>
  <c r="D103" i="4"/>
  <c r="C103" i="4"/>
  <c r="BE102" i="4"/>
  <c r="R102" i="4"/>
  <c r="I102" i="4"/>
  <c r="H102" i="4"/>
  <c r="G102" i="4"/>
  <c r="F102" i="4"/>
  <c r="E102" i="4"/>
  <c r="D102" i="4"/>
  <c r="C102" i="4"/>
  <c r="BE101" i="4"/>
  <c r="R101" i="4"/>
  <c r="I101" i="4"/>
  <c r="H101" i="4"/>
  <c r="G101" i="4"/>
  <c r="F101" i="4"/>
  <c r="E101" i="4"/>
  <c r="D101" i="4"/>
  <c r="C101" i="4"/>
  <c r="BE100" i="4"/>
  <c r="R100" i="4"/>
  <c r="I100" i="4"/>
  <c r="H100" i="4"/>
  <c r="G100" i="4"/>
  <c r="F100" i="4"/>
  <c r="E100" i="4"/>
  <c r="D100" i="4"/>
  <c r="C100" i="4"/>
  <c r="BE99" i="4"/>
  <c r="R99" i="4"/>
  <c r="I99" i="4"/>
  <c r="H99" i="4"/>
  <c r="G99" i="4"/>
  <c r="F99" i="4"/>
  <c r="E99" i="4"/>
  <c r="D99" i="4"/>
  <c r="C99" i="4"/>
  <c r="BE98" i="4"/>
  <c r="R98" i="4"/>
  <c r="I98" i="4"/>
  <c r="H98" i="4"/>
  <c r="G98" i="4"/>
  <c r="F98" i="4"/>
  <c r="E98" i="4"/>
  <c r="D98" i="4"/>
  <c r="C98" i="4"/>
  <c r="BE97" i="4"/>
  <c r="R97" i="4"/>
  <c r="I97" i="4"/>
  <c r="H97" i="4"/>
  <c r="G97" i="4"/>
  <c r="F97" i="4"/>
  <c r="E97" i="4"/>
  <c r="D97" i="4"/>
  <c r="C97" i="4"/>
  <c r="BE96" i="4"/>
  <c r="R96" i="4"/>
  <c r="I96" i="4"/>
  <c r="H96" i="4"/>
  <c r="G96" i="4"/>
  <c r="F96" i="4"/>
  <c r="E96" i="4"/>
  <c r="D96" i="4"/>
  <c r="C96" i="4"/>
  <c r="BE95" i="4"/>
  <c r="R95" i="4"/>
  <c r="I95" i="4"/>
  <c r="H95" i="4"/>
  <c r="G95" i="4"/>
  <c r="F95" i="4"/>
  <c r="E95" i="4"/>
  <c r="D95" i="4"/>
  <c r="C95" i="4"/>
  <c r="BE94" i="4"/>
  <c r="R94" i="4"/>
  <c r="I94" i="4"/>
  <c r="H94" i="4"/>
  <c r="G94" i="4"/>
  <c r="F94" i="4"/>
  <c r="E94" i="4"/>
  <c r="D94" i="4"/>
  <c r="C94" i="4"/>
  <c r="BE93" i="4"/>
  <c r="R93" i="4"/>
  <c r="I93" i="4"/>
  <c r="H93" i="4"/>
  <c r="G93" i="4"/>
  <c r="F93" i="4"/>
  <c r="E93" i="4"/>
  <c r="D93" i="4"/>
  <c r="C93" i="4"/>
  <c r="BE92" i="4"/>
  <c r="R92" i="4"/>
  <c r="I92" i="4"/>
  <c r="H92" i="4"/>
  <c r="G92" i="4"/>
  <c r="F92" i="4"/>
  <c r="E92" i="4"/>
  <c r="D92" i="4"/>
  <c r="C92" i="4"/>
  <c r="BE91" i="4"/>
  <c r="R91" i="4"/>
  <c r="I91" i="4"/>
  <c r="H91" i="4"/>
  <c r="G91" i="4"/>
  <c r="F91" i="4"/>
  <c r="E91" i="4"/>
  <c r="D91" i="4"/>
  <c r="C91" i="4"/>
  <c r="BE90" i="4"/>
  <c r="R90" i="4"/>
  <c r="I90" i="4"/>
  <c r="H90" i="4"/>
  <c r="G90" i="4"/>
  <c r="F90" i="4"/>
  <c r="E90" i="4"/>
  <c r="D90" i="4"/>
  <c r="C90" i="4"/>
  <c r="BE89" i="4"/>
  <c r="R89" i="4"/>
  <c r="I89" i="4"/>
  <c r="H89" i="4"/>
  <c r="G89" i="4"/>
  <c r="F89" i="4"/>
  <c r="E89" i="4"/>
  <c r="D89" i="4"/>
  <c r="C89" i="4"/>
  <c r="BE88" i="4"/>
  <c r="R88" i="4"/>
  <c r="I88" i="4"/>
  <c r="H88" i="4"/>
  <c r="G88" i="4"/>
  <c r="F88" i="4"/>
  <c r="E88" i="4"/>
  <c r="D88" i="4"/>
  <c r="C88" i="4"/>
  <c r="BE87" i="4"/>
  <c r="R87" i="4"/>
  <c r="I87" i="4"/>
  <c r="H87" i="4"/>
  <c r="G87" i="4"/>
  <c r="F87" i="4"/>
  <c r="E87" i="4"/>
  <c r="D87" i="4"/>
  <c r="C87" i="4"/>
  <c r="BE86" i="4"/>
  <c r="R86" i="4"/>
  <c r="I86" i="4"/>
  <c r="H86" i="4"/>
  <c r="G86" i="4"/>
  <c r="F86" i="4"/>
  <c r="E86" i="4"/>
  <c r="D86" i="4"/>
  <c r="C86" i="4"/>
  <c r="BE85" i="4"/>
  <c r="R85" i="4"/>
  <c r="I85" i="4"/>
  <c r="H85" i="4"/>
  <c r="G85" i="4"/>
  <c r="F85" i="4"/>
  <c r="E85" i="4"/>
  <c r="D85" i="4"/>
  <c r="C85" i="4"/>
  <c r="BE84" i="4"/>
  <c r="R84" i="4"/>
  <c r="I84" i="4"/>
  <c r="H84" i="4"/>
  <c r="G84" i="4"/>
  <c r="F84" i="4"/>
  <c r="E84" i="4"/>
  <c r="D84" i="4"/>
  <c r="C84" i="4"/>
  <c r="BE83" i="4"/>
  <c r="R83" i="4"/>
  <c r="I83" i="4"/>
  <c r="H83" i="4"/>
  <c r="G83" i="4"/>
  <c r="F83" i="4"/>
  <c r="E83" i="4"/>
  <c r="D83" i="4"/>
  <c r="C83" i="4"/>
  <c r="BE82" i="4"/>
  <c r="R82" i="4"/>
  <c r="I82" i="4"/>
  <c r="H82" i="4"/>
  <c r="G82" i="4"/>
  <c r="F82" i="4"/>
  <c r="E82" i="4"/>
  <c r="D82" i="4"/>
  <c r="C82" i="4"/>
  <c r="BE81" i="4"/>
  <c r="R81" i="4"/>
  <c r="I81" i="4"/>
  <c r="H81" i="4"/>
  <c r="G81" i="4"/>
  <c r="F81" i="4"/>
  <c r="E81" i="4"/>
  <c r="D81" i="4"/>
  <c r="C81" i="4"/>
  <c r="BE80" i="4"/>
  <c r="R80" i="4"/>
  <c r="I80" i="4"/>
  <c r="H80" i="4"/>
  <c r="G80" i="4"/>
  <c r="F80" i="4"/>
  <c r="E80" i="4"/>
  <c r="D80" i="4"/>
  <c r="C80" i="4"/>
  <c r="BE79" i="4"/>
  <c r="R79" i="4"/>
  <c r="I79" i="4"/>
  <c r="H79" i="4"/>
  <c r="G79" i="4"/>
  <c r="F79" i="4"/>
  <c r="E79" i="4"/>
  <c r="D79" i="4"/>
  <c r="C79" i="4"/>
  <c r="BE78" i="4"/>
  <c r="R78" i="4"/>
  <c r="I78" i="4"/>
  <c r="H78" i="4"/>
  <c r="G78" i="4"/>
  <c r="F78" i="4"/>
  <c r="E78" i="4"/>
  <c r="D78" i="4"/>
  <c r="C78" i="4"/>
  <c r="BE77" i="4"/>
  <c r="R77" i="4"/>
  <c r="I77" i="4"/>
  <c r="H77" i="4"/>
  <c r="G77" i="4"/>
  <c r="F77" i="4"/>
  <c r="E77" i="4"/>
  <c r="D77" i="4"/>
  <c r="C77" i="4"/>
  <c r="BE76" i="4"/>
  <c r="R76" i="4"/>
  <c r="I76" i="4"/>
  <c r="H76" i="4"/>
  <c r="G76" i="4"/>
  <c r="F76" i="4"/>
  <c r="E76" i="4"/>
  <c r="D76" i="4"/>
  <c r="C76" i="4"/>
  <c r="BE75" i="4"/>
  <c r="R75" i="4"/>
  <c r="I75" i="4"/>
  <c r="H75" i="4"/>
  <c r="G75" i="4"/>
  <c r="F75" i="4"/>
  <c r="E75" i="4"/>
  <c r="D75" i="4"/>
  <c r="C75" i="4"/>
  <c r="BE74" i="4"/>
  <c r="R74" i="4"/>
  <c r="I74" i="4"/>
  <c r="H74" i="4"/>
  <c r="G74" i="4"/>
  <c r="F74" i="4"/>
  <c r="E74" i="4"/>
  <c r="D74" i="4"/>
  <c r="C74" i="4"/>
  <c r="BE73" i="4"/>
  <c r="R73" i="4"/>
  <c r="I73" i="4"/>
  <c r="H73" i="4"/>
  <c r="G73" i="4"/>
  <c r="F73" i="4"/>
  <c r="E73" i="4"/>
  <c r="D73" i="4"/>
  <c r="C73" i="4"/>
  <c r="BE72" i="4"/>
  <c r="R72" i="4"/>
  <c r="I72" i="4"/>
  <c r="H72" i="4"/>
  <c r="G72" i="4"/>
  <c r="F72" i="4"/>
  <c r="E72" i="4"/>
  <c r="D72" i="4"/>
  <c r="C72" i="4"/>
  <c r="BE71" i="4"/>
  <c r="R71" i="4"/>
  <c r="I71" i="4"/>
  <c r="H71" i="4"/>
  <c r="G71" i="4"/>
  <c r="F71" i="4"/>
  <c r="E71" i="4"/>
  <c r="D71" i="4"/>
  <c r="C71" i="4"/>
  <c r="BE70" i="4"/>
  <c r="R70" i="4"/>
  <c r="I70" i="4"/>
  <c r="H70" i="4"/>
  <c r="G70" i="4"/>
  <c r="F70" i="4"/>
  <c r="E70" i="4"/>
  <c r="D70" i="4"/>
  <c r="C70" i="4"/>
  <c r="BE69" i="4"/>
  <c r="R69" i="4"/>
  <c r="I69" i="4"/>
  <c r="H69" i="4"/>
  <c r="G69" i="4"/>
  <c r="F69" i="4"/>
  <c r="E69" i="4"/>
  <c r="D69" i="4"/>
  <c r="C69" i="4"/>
  <c r="BE68" i="4"/>
  <c r="R68" i="4"/>
  <c r="I68" i="4"/>
  <c r="H68" i="4"/>
  <c r="G68" i="4"/>
  <c r="F68" i="4"/>
  <c r="E68" i="4"/>
  <c r="D68" i="4"/>
  <c r="C68" i="4"/>
  <c r="BE67" i="4"/>
  <c r="R67" i="4"/>
  <c r="I67" i="4"/>
  <c r="H67" i="4"/>
  <c r="G67" i="4"/>
  <c r="F67" i="4"/>
  <c r="E67" i="4"/>
  <c r="D67" i="4"/>
  <c r="C67" i="4"/>
  <c r="BE66" i="4"/>
  <c r="R66" i="4"/>
  <c r="I66" i="4"/>
  <c r="H66" i="4"/>
  <c r="G66" i="4"/>
  <c r="F66" i="4"/>
  <c r="E66" i="4"/>
  <c r="D66" i="4"/>
  <c r="C66" i="4"/>
  <c r="BE65" i="4"/>
  <c r="R65" i="4"/>
  <c r="I65" i="4"/>
  <c r="H65" i="4"/>
  <c r="G65" i="4"/>
  <c r="F65" i="4"/>
  <c r="E65" i="4"/>
  <c r="D65" i="4"/>
  <c r="C65" i="4"/>
  <c r="BE64" i="4"/>
  <c r="R64" i="4"/>
  <c r="I64" i="4"/>
  <c r="H64" i="4"/>
  <c r="G64" i="4"/>
  <c r="F64" i="4"/>
  <c r="E64" i="4"/>
  <c r="D64" i="4"/>
  <c r="C64" i="4"/>
  <c r="BE63" i="4"/>
  <c r="R63" i="4"/>
  <c r="I63" i="4"/>
  <c r="H63" i="4"/>
  <c r="G63" i="4"/>
  <c r="F63" i="4"/>
  <c r="E63" i="4"/>
  <c r="D63" i="4"/>
  <c r="C63" i="4"/>
  <c r="BE62" i="4"/>
  <c r="R62" i="4"/>
  <c r="I62" i="4"/>
  <c r="H62" i="4"/>
  <c r="G62" i="4"/>
  <c r="F62" i="4"/>
  <c r="E62" i="4"/>
  <c r="D62" i="4"/>
  <c r="C62" i="4"/>
  <c r="BE61" i="4"/>
  <c r="R61" i="4"/>
  <c r="I61" i="4"/>
  <c r="H61" i="4"/>
  <c r="G61" i="4"/>
  <c r="F61" i="4"/>
  <c r="E61" i="4"/>
  <c r="D61" i="4"/>
  <c r="C61" i="4"/>
  <c r="BE60" i="4"/>
  <c r="R60" i="4"/>
  <c r="I60" i="4"/>
  <c r="H60" i="4"/>
  <c r="G60" i="4"/>
  <c r="F60" i="4"/>
  <c r="E60" i="4"/>
  <c r="D60" i="4"/>
  <c r="C60" i="4"/>
  <c r="BE59" i="4"/>
  <c r="R59" i="4"/>
  <c r="I59" i="4"/>
  <c r="H59" i="4"/>
  <c r="G59" i="4"/>
  <c r="F59" i="4"/>
  <c r="E59" i="4"/>
  <c r="D59" i="4"/>
  <c r="C59" i="4"/>
  <c r="BE58" i="4"/>
  <c r="R58" i="4"/>
  <c r="I58" i="4"/>
  <c r="H58" i="4"/>
  <c r="G58" i="4"/>
  <c r="F58" i="4"/>
  <c r="E58" i="4"/>
  <c r="D58" i="4"/>
  <c r="C58" i="4"/>
  <c r="BE57" i="4"/>
  <c r="R57" i="4"/>
  <c r="I57" i="4"/>
  <c r="H57" i="4"/>
  <c r="G57" i="4"/>
  <c r="F57" i="4"/>
  <c r="E57" i="4"/>
  <c r="D57" i="4"/>
  <c r="C57" i="4"/>
  <c r="BE56" i="4"/>
  <c r="R56" i="4"/>
  <c r="I56" i="4"/>
  <c r="H56" i="4"/>
  <c r="G56" i="4"/>
  <c r="F56" i="4"/>
  <c r="E56" i="4"/>
  <c r="D56" i="4"/>
  <c r="C56" i="4"/>
  <c r="BE55" i="4"/>
  <c r="R55" i="4"/>
  <c r="I55" i="4"/>
  <c r="H55" i="4"/>
  <c r="G55" i="4"/>
  <c r="F55" i="4"/>
  <c r="E55" i="4"/>
  <c r="D55" i="4"/>
  <c r="C55" i="4"/>
  <c r="BE54" i="4"/>
  <c r="R54" i="4"/>
  <c r="I54" i="4"/>
  <c r="H54" i="4"/>
  <c r="G54" i="4"/>
  <c r="F54" i="4"/>
  <c r="E54" i="4"/>
  <c r="D54" i="4"/>
  <c r="C54" i="4"/>
  <c r="BE53" i="4"/>
  <c r="R53" i="4"/>
  <c r="I53" i="4"/>
  <c r="H53" i="4"/>
  <c r="G53" i="4"/>
  <c r="F53" i="4"/>
  <c r="E53" i="4"/>
  <c r="D53" i="4"/>
  <c r="C53" i="4"/>
  <c r="BE52" i="4"/>
  <c r="R52" i="4"/>
  <c r="I52" i="4"/>
  <c r="H52" i="4"/>
  <c r="G52" i="4"/>
  <c r="F52" i="4"/>
  <c r="E52" i="4"/>
  <c r="D52" i="4"/>
  <c r="C52" i="4"/>
  <c r="BE51" i="4"/>
  <c r="R51" i="4"/>
  <c r="I51" i="4"/>
  <c r="H51" i="4"/>
  <c r="G51" i="4"/>
  <c r="F51" i="4"/>
  <c r="E51" i="4"/>
  <c r="D51" i="4"/>
  <c r="C51" i="4"/>
  <c r="BE50" i="4"/>
  <c r="R50" i="4"/>
  <c r="I50" i="4"/>
  <c r="H50" i="4"/>
  <c r="G50" i="4"/>
  <c r="F50" i="4"/>
  <c r="E50" i="4"/>
  <c r="D50" i="4"/>
  <c r="C50" i="4"/>
  <c r="BE49" i="4"/>
  <c r="R49" i="4"/>
  <c r="I49" i="4"/>
  <c r="H49" i="4"/>
  <c r="G49" i="4"/>
  <c r="F49" i="4"/>
  <c r="E49" i="4"/>
  <c r="D49" i="4"/>
  <c r="C49" i="4"/>
  <c r="BE48" i="4"/>
  <c r="R48" i="4"/>
  <c r="I48" i="4"/>
  <c r="H48" i="4"/>
  <c r="G48" i="4"/>
  <c r="F48" i="4"/>
  <c r="E48" i="4"/>
  <c r="D48" i="4"/>
  <c r="C48" i="4"/>
  <c r="BE47" i="4"/>
  <c r="R47" i="4"/>
  <c r="I47" i="4"/>
  <c r="H47" i="4"/>
  <c r="G47" i="4"/>
  <c r="F47" i="4"/>
  <c r="E47" i="4"/>
  <c r="D47" i="4"/>
  <c r="C47" i="4"/>
  <c r="R46" i="4"/>
  <c r="I46" i="4"/>
  <c r="H46" i="4"/>
  <c r="G46" i="4"/>
  <c r="F46" i="4"/>
  <c r="E46" i="4"/>
  <c r="D46" i="4"/>
  <c r="C46" i="4"/>
  <c r="BE45" i="4"/>
  <c r="R45" i="4"/>
  <c r="I45" i="4"/>
  <c r="H45" i="4"/>
  <c r="G45" i="4"/>
  <c r="F45" i="4"/>
  <c r="E45" i="4"/>
  <c r="D45" i="4"/>
  <c r="C45" i="4"/>
  <c r="BE44" i="4"/>
  <c r="R44" i="4"/>
  <c r="I44" i="4"/>
  <c r="H44" i="4"/>
  <c r="G44" i="4"/>
  <c r="F44" i="4"/>
  <c r="E44" i="4"/>
  <c r="D44" i="4"/>
  <c r="C44" i="4"/>
  <c r="BE43" i="4"/>
  <c r="R43" i="4"/>
  <c r="I43" i="4"/>
  <c r="H43" i="4"/>
  <c r="G43" i="4"/>
  <c r="F43" i="4"/>
  <c r="E43" i="4"/>
  <c r="D43" i="4"/>
  <c r="C43" i="4"/>
  <c r="BE42" i="4"/>
  <c r="R42" i="4"/>
  <c r="I42" i="4"/>
  <c r="H42" i="4"/>
  <c r="G42" i="4"/>
  <c r="F42" i="4"/>
  <c r="E42" i="4"/>
  <c r="D42" i="4"/>
  <c r="C42" i="4"/>
  <c r="BE41" i="4"/>
  <c r="R41" i="4"/>
  <c r="I41" i="4"/>
  <c r="H41" i="4"/>
  <c r="G41" i="4"/>
  <c r="F41" i="4"/>
  <c r="E41" i="4"/>
  <c r="D41" i="4"/>
  <c r="C41" i="4"/>
  <c r="BE40" i="4"/>
  <c r="R40" i="4"/>
  <c r="I40" i="4"/>
  <c r="H40" i="4"/>
  <c r="G40" i="4"/>
  <c r="F40" i="4"/>
  <c r="E40" i="4"/>
  <c r="D40" i="4"/>
  <c r="C40" i="4"/>
  <c r="BE39" i="4"/>
  <c r="R39" i="4"/>
  <c r="I39" i="4"/>
  <c r="H39" i="4"/>
  <c r="G39" i="4"/>
  <c r="F39" i="4"/>
  <c r="E39" i="4"/>
  <c r="D39" i="4"/>
  <c r="C39" i="4"/>
  <c r="BE38" i="4"/>
  <c r="R38" i="4"/>
  <c r="I38" i="4"/>
  <c r="H38" i="4"/>
  <c r="G38" i="4"/>
  <c r="F38" i="4"/>
  <c r="E38" i="4"/>
  <c r="D38" i="4"/>
  <c r="C38" i="4"/>
  <c r="BE37" i="4"/>
  <c r="R37" i="4"/>
  <c r="I37" i="4"/>
  <c r="H37" i="4"/>
  <c r="G37" i="4"/>
  <c r="F37" i="4"/>
  <c r="E37" i="4"/>
  <c r="D37" i="4"/>
  <c r="C37" i="4"/>
  <c r="BE36" i="4"/>
  <c r="R36" i="4"/>
  <c r="I36" i="4"/>
  <c r="H36" i="4"/>
  <c r="G36" i="4"/>
  <c r="F36" i="4"/>
  <c r="E36" i="4"/>
  <c r="D36" i="4"/>
  <c r="C36" i="4"/>
  <c r="BE35" i="4"/>
  <c r="R35" i="4"/>
  <c r="I35" i="4"/>
  <c r="H35" i="4"/>
  <c r="G35" i="4"/>
  <c r="F35" i="4"/>
  <c r="E35" i="4"/>
  <c r="D35" i="4"/>
  <c r="C35" i="4"/>
  <c r="BE34" i="4"/>
  <c r="R34" i="4"/>
  <c r="I34" i="4"/>
  <c r="H34" i="4"/>
  <c r="G34" i="4"/>
  <c r="F34" i="4"/>
  <c r="E34" i="4"/>
  <c r="D34" i="4"/>
  <c r="C34" i="4"/>
  <c r="BE33" i="4"/>
  <c r="R33" i="4"/>
  <c r="I33" i="4"/>
  <c r="H33" i="4"/>
  <c r="G33" i="4"/>
  <c r="F33" i="4"/>
  <c r="E33" i="4"/>
  <c r="D33" i="4"/>
  <c r="C33" i="4"/>
  <c r="BE32" i="4"/>
  <c r="R32" i="4"/>
  <c r="I32" i="4"/>
  <c r="H32" i="4"/>
  <c r="G32" i="4"/>
  <c r="F32" i="4"/>
  <c r="E32" i="4"/>
  <c r="D32" i="4"/>
  <c r="C32" i="4"/>
  <c r="BE31" i="4"/>
  <c r="R31" i="4"/>
  <c r="I31" i="4"/>
  <c r="H31" i="4"/>
  <c r="G31" i="4"/>
  <c r="F31" i="4"/>
  <c r="E31" i="4"/>
  <c r="D31" i="4"/>
  <c r="C31" i="4"/>
  <c r="BE30" i="4"/>
  <c r="R30" i="4"/>
  <c r="I30" i="4"/>
  <c r="H30" i="4"/>
  <c r="G30" i="4"/>
  <c r="F30" i="4"/>
  <c r="E30" i="4"/>
  <c r="D30" i="4"/>
  <c r="C30" i="4"/>
  <c r="BE29" i="4"/>
  <c r="R29" i="4"/>
  <c r="I29" i="4"/>
  <c r="H29" i="4"/>
  <c r="G29" i="4"/>
  <c r="F29" i="4"/>
  <c r="E29" i="4"/>
  <c r="D29" i="4"/>
  <c r="C29" i="4"/>
  <c r="BE28" i="4"/>
  <c r="R28" i="4"/>
  <c r="I28" i="4"/>
  <c r="H28" i="4"/>
  <c r="G28" i="4"/>
  <c r="F28" i="4"/>
  <c r="E28" i="4"/>
  <c r="D28" i="4"/>
  <c r="C28" i="4"/>
  <c r="BE27" i="4"/>
  <c r="R27" i="4"/>
  <c r="I27" i="4"/>
  <c r="H27" i="4"/>
  <c r="G27" i="4"/>
  <c r="F27" i="4"/>
  <c r="E27" i="4"/>
  <c r="D27" i="4"/>
  <c r="C27" i="4"/>
  <c r="BE26" i="4"/>
  <c r="R26" i="4"/>
  <c r="I26" i="4"/>
  <c r="H26" i="4"/>
  <c r="G26" i="4"/>
  <c r="F26" i="4"/>
  <c r="E26" i="4"/>
  <c r="D26" i="4"/>
  <c r="C26" i="4"/>
  <c r="BE25" i="4"/>
  <c r="R25" i="4"/>
  <c r="I25" i="4"/>
  <c r="H25" i="4"/>
  <c r="G25" i="4"/>
  <c r="F25" i="4"/>
  <c r="E25" i="4"/>
  <c r="D25" i="4"/>
  <c r="C25" i="4"/>
  <c r="BE24" i="4"/>
  <c r="R24" i="4"/>
  <c r="I24" i="4"/>
  <c r="H24" i="4"/>
  <c r="G24" i="4"/>
  <c r="F24" i="4"/>
  <c r="E24" i="4"/>
  <c r="D24" i="4"/>
  <c r="C24" i="4"/>
  <c r="BE23" i="4"/>
  <c r="R23" i="4"/>
  <c r="I23" i="4"/>
  <c r="H23" i="4"/>
  <c r="G23" i="4"/>
  <c r="F23" i="4"/>
  <c r="E23" i="4"/>
  <c r="D23" i="4"/>
  <c r="C23" i="4"/>
  <c r="BE22" i="4"/>
  <c r="R22" i="4"/>
  <c r="I22" i="4"/>
  <c r="H22" i="4"/>
  <c r="G22" i="4"/>
  <c r="F22" i="4"/>
  <c r="E22" i="4"/>
  <c r="D22" i="4"/>
  <c r="C22" i="4"/>
  <c r="BE21" i="4"/>
  <c r="R21" i="4"/>
  <c r="I21" i="4"/>
  <c r="H21" i="4"/>
  <c r="G21" i="4"/>
  <c r="F21" i="4"/>
  <c r="E21" i="4"/>
  <c r="D21" i="4"/>
  <c r="C21" i="4"/>
  <c r="BE20" i="4"/>
  <c r="R20" i="4"/>
  <c r="I20" i="4"/>
  <c r="H20" i="4"/>
  <c r="G20" i="4"/>
  <c r="F20" i="4"/>
  <c r="E20" i="4"/>
  <c r="D20" i="4"/>
  <c r="C20" i="4"/>
  <c r="BE19" i="4"/>
  <c r="R19" i="4"/>
  <c r="I19" i="4"/>
  <c r="H19" i="4"/>
  <c r="G19" i="4"/>
  <c r="F19" i="4"/>
  <c r="E19" i="4"/>
  <c r="D19" i="4"/>
  <c r="C19" i="4"/>
  <c r="BE18" i="4"/>
  <c r="R18" i="4"/>
  <c r="I18" i="4"/>
  <c r="H18" i="4"/>
  <c r="G18" i="4"/>
  <c r="F18" i="4"/>
  <c r="E18" i="4"/>
  <c r="D18" i="4"/>
  <c r="C18" i="4"/>
  <c r="BE17" i="4"/>
  <c r="R17" i="4"/>
  <c r="I17" i="4"/>
  <c r="H17" i="4"/>
  <c r="G17" i="4"/>
  <c r="F17" i="4"/>
  <c r="E17" i="4"/>
  <c r="D17" i="4"/>
  <c r="C17" i="4"/>
  <c r="BE16" i="4"/>
  <c r="R16" i="4"/>
  <c r="I16" i="4"/>
  <c r="H16" i="4"/>
  <c r="G16" i="4"/>
  <c r="F16" i="4"/>
  <c r="E16" i="4"/>
  <c r="D16" i="4"/>
  <c r="C16" i="4"/>
  <c r="BE15" i="4"/>
  <c r="R15" i="4"/>
  <c r="I15" i="4"/>
  <c r="H15" i="4"/>
  <c r="G15" i="4"/>
  <c r="F15" i="4"/>
  <c r="E15" i="4"/>
  <c r="D15" i="4"/>
  <c r="C15" i="4"/>
  <c r="BE14" i="4"/>
  <c r="R14" i="4"/>
  <c r="I14" i="4"/>
  <c r="H14" i="4"/>
  <c r="G14" i="4"/>
  <c r="F14" i="4"/>
  <c r="E14" i="4"/>
  <c r="D14" i="4"/>
  <c r="C14" i="4"/>
  <c r="BE13" i="4"/>
  <c r="R13" i="4"/>
  <c r="I13" i="4"/>
  <c r="H13" i="4"/>
  <c r="G13" i="4"/>
  <c r="F13" i="4"/>
  <c r="E13" i="4"/>
  <c r="D13" i="4"/>
  <c r="C13" i="4"/>
  <c r="BE12" i="4"/>
  <c r="R12" i="4"/>
  <c r="I12" i="4"/>
  <c r="H12" i="4"/>
  <c r="G12" i="4"/>
  <c r="F12" i="4"/>
  <c r="E12" i="4"/>
  <c r="D12" i="4"/>
  <c r="C12" i="4"/>
  <c r="BE11" i="4"/>
  <c r="R11" i="4"/>
  <c r="I11" i="4"/>
  <c r="H11" i="4"/>
  <c r="G11" i="4"/>
  <c r="F11" i="4"/>
  <c r="E11" i="4"/>
  <c r="D11" i="4"/>
  <c r="C11" i="4"/>
  <c r="BE10" i="4"/>
  <c r="R10" i="4"/>
  <c r="I10" i="4"/>
  <c r="H10" i="4"/>
  <c r="G10" i="4"/>
  <c r="F10" i="4"/>
  <c r="E10" i="4"/>
  <c r="D10" i="4"/>
  <c r="C10" i="4"/>
  <c r="BE9" i="4"/>
  <c r="R9" i="4"/>
  <c r="I9" i="4"/>
  <c r="H9" i="4"/>
  <c r="G9" i="4"/>
  <c r="F9" i="4"/>
  <c r="E9" i="4"/>
  <c r="D9" i="4"/>
  <c r="C9" i="4"/>
  <c r="BE8" i="4"/>
  <c r="R8" i="4"/>
  <c r="I8" i="4"/>
  <c r="H8" i="4"/>
  <c r="G8" i="4"/>
  <c r="F8" i="4"/>
  <c r="E8" i="4"/>
  <c r="D8" i="4"/>
  <c r="C8" i="4"/>
  <c r="BE7" i="4"/>
  <c r="R7" i="4"/>
  <c r="I7" i="4"/>
  <c r="H7" i="4"/>
  <c r="G7" i="4"/>
  <c r="F7" i="4"/>
  <c r="E7" i="4"/>
  <c r="D7" i="4"/>
  <c r="C7" i="4"/>
  <c r="BE6" i="4"/>
  <c r="R6" i="4"/>
  <c r="I6" i="4"/>
  <c r="H6" i="4"/>
  <c r="G6" i="4"/>
  <c r="F6" i="4"/>
  <c r="E6" i="4"/>
  <c r="D6" i="4"/>
  <c r="C6" i="4"/>
  <c r="BE5" i="4"/>
  <c r="R5" i="4"/>
  <c r="I5" i="4"/>
  <c r="H5" i="4"/>
  <c r="G5" i="4"/>
  <c r="F5" i="4"/>
  <c r="E5" i="4"/>
  <c r="D5" i="4"/>
  <c r="C5" i="4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B122" i="8"/>
  <c r="AA122" i="8"/>
  <c r="Z122" i="8"/>
  <c r="X122" i="8"/>
  <c r="V122" i="8"/>
  <c r="R122" i="8"/>
  <c r="Q122" i="8"/>
  <c r="P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R121" i="8"/>
  <c r="BE120" i="8"/>
  <c r="R120" i="8"/>
  <c r="I120" i="8"/>
  <c r="H120" i="8"/>
  <c r="G120" i="8"/>
  <c r="F120" i="8"/>
  <c r="E120" i="8"/>
  <c r="D120" i="8"/>
  <c r="C120" i="8"/>
  <c r="R119" i="8"/>
  <c r="BE118" i="8"/>
  <c r="R118" i="8"/>
  <c r="I118" i="8"/>
  <c r="H118" i="8"/>
  <c r="G118" i="8"/>
  <c r="F118" i="8"/>
  <c r="E118" i="8"/>
  <c r="D118" i="8"/>
  <c r="C118" i="8"/>
  <c r="BE117" i="8"/>
  <c r="R117" i="8"/>
  <c r="I117" i="8"/>
  <c r="H117" i="8"/>
  <c r="G117" i="8"/>
  <c r="F117" i="8"/>
  <c r="E117" i="8"/>
  <c r="D117" i="8"/>
  <c r="C117" i="8"/>
  <c r="BE116" i="8"/>
  <c r="R116" i="8"/>
  <c r="I116" i="8"/>
  <c r="H116" i="8"/>
  <c r="G116" i="8"/>
  <c r="F116" i="8"/>
  <c r="E116" i="8"/>
  <c r="D116" i="8"/>
  <c r="C116" i="8"/>
  <c r="R115" i="8"/>
  <c r="I115" i="8"/>
  <c r="BE114" i="8"/>
  <c r="BD114" i="8"/>
  <c r="BC114" i="8"/>
  <c r="BB114" i="8"/>
  <c r="BA114" i="8"/>
  <c r="AZ114" i="8"/>
  <c r="AY114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R114" i="8"/>
  <c r="Q114" i="8"/>
  <c r="P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E113" i="8"/>
  <c r="R113" i="8"/>
  <c r="I113" i="8"/>
  <c r="H113" i="8"/>
  <c r="G113" i="8"/>
  <c r="F113" i="8"/>
  <c r="E113" i="8"/>
  <c r="D113" i="8"/>
  <c r="C113" i="8"/>
  <c r="BE112" i="8"/>
  <c r="R112" i="8"/>
  <c r="I112" i="8"/>
  <c r="H112" i="8"/>
  <c r="G112" i="8"/>
  <c r="F112" i="8"/>
  <c r="E112" i="8"/>
  <c r="D112" i="8"/>
  <c r="C112" i="8"/>
  <c r="BE111" i="8"/>
  <c r="R111" i="8"/>
  <c r="I111" i="8"/>
  <c r="H111" i="8"/>
  <c r="G111" i="8"/>
  <c r="F111" i="8"/>
  <c r="E111" i="8"/>
  <c r="D111" i="8"/>
  <c r="C111" i="8"/>
  <c r="BE110" i="8"/>
  <c r="R110" i="8"/>
  <c r="I110" i="8"/>
  <c r="H110" i="8"/>
  <c r="G110" i="8"/>
  <c r="F110" i="8"/>
  <c r="E110" i="8"/>
  <c r="D110" i="8"/>
  <c r="C110" i="8"/>
  <c r="BE109" i="8"/>
  <c r="R109" i="8"/>
  <c r="I109" i="8"/>
  <c r="H109" i="8"/>
  <c r="G109" i="8"/>
  <c r="F109" i="8"/>
  <c r="E109" i="8"/>
  <c r="D109" i="8"/>
  <c r="C109" i="8"/>
  <c r="BE108" i="8"/>
  <c r="R108" i="8"/>
  <c r="I108" i="8"/>
  <c r="H108" i="8"/>
  <c r="G108" i="8"/>
  <c r="F108" i="8"/>
  <c r="E108" i="8"/>
  <c r="D108" i="8"/>
  <c r="C108" i="8"/>
  <c r="BE107" i="8"/>
  <c r="R107" i="8"/>
  <c r="I107" i="8"/>
  <c r="H107" i="8"/>
  <c r="G107" i="8"/>
  <c r="F107" i="8"/>
  <c r="E107" i="8"/>
  <c r="D107" i="8"/>
  <c r="C107" i="8"/>
  <c r="BE106" i="8"/>
  <c r="R106" i="8"/>
  <c r="I106" i="8"/>
  <c r="H106" i="8"/>
  <c r="G106" i="8"/>
  <c r="F106" i="8"/>
  <c r="E106" i="8"/>
  <c r="D106" i="8"/>
  <c r="C106" i="8"/>
  <c r="BE105" i="8"/>
  <c r="R105" i="8"/>
  <c r="I105" i="8"/>
  <c r="H105" i="8"/>
  <c r="G105" i="8"/>
  <c r="F105" i="8"/>
  <c r="E105" i="8"/>
  <c r="D105" i="8"/>
  <c r="C105" i="8"/>
  <c r="BE104" i="8"/>
  <c r="R104" i="8"/>
  <c r="I104" i="8"/>
  <c r="H104" i="8"/>
  <c r="G104" i="8"/>
  <c r="F104" i="8"/>
  <c r="E104" i="8"/>
  <c r="D104" i="8"/>
  <c r="C104" i="8"/>
  <c r="BE103" i="8"/>
  <c r="R103" i="8"/>
  <c r="I103" i="8"/>
  <c r="H103" i="8"/>
  <c r="G103" i="8"/>
  <c r="F103" i="8"/>
  <c r="E103" i="8"/>
  <c r="D103" i="8"/>
  <c r="C103" i="8"/>
  <c r="BE102" i="8"/>
  <c r="R102" i="8"/>
  <c r="I102" i="8"/>
  <c r="H102" i="8"/>
  <c r="G102" i="8"/>
  <c r="F102" i="8"/>
  <c r="E102" i="8"/>
  <c r="D102" i="8"/>
  <c r="C102" i="8"/>
  <c r="BE101" i="8"/>
  <c r="R101" i="8"/>
  <c r="I101" i="8"/>
  <c r="H101" i="8"/>
  <c r="G101" i="8"/>
  <c r="F101" i="8"/>
  <c r="E101" i="8"/>
  <c r="D101" i="8"/>
  <c r="C101" i="8"/>
  <c r="BE100" i="8"/>
  <c r="R100" i="8"/>
  <c r="I100" i="8"/>
  <c r="H100" i="8"/>
  <c r="G100" i="8"/>
  <c r="F100" i="8"/>
  <c r="E100" i="8"/>
  <c r="D100" i="8"/>
  <c r="C100" i="8"/>
  <c r="BE99" i="8"/>
  <c r="R99" i="8"/>
  <c r="I99" i="8"/>
  <c r="H99" i="8"/>
  <c r="G99" i="8"/>
  <c r="F99" i="8"/>
  <c r="E99" i="8"/>
  <c r="D99" i="8"/>
  <c r="C99" i="8"/>
  <c r="BE98" i="8"/>
  <c r="R98" i="8"/>
  <c r="I98" i="8"/>
  <c r="H98" i="8"/>
  <c r="G98" i="8"/>
  <c r="F98" i="8"/>
  <c r="E98" i="8"/>
  <c r="D98" i="8"/>
  <c r="C98" i="8"/>
  <c r="BE97" i="8"/>
  <c r="R97" i="8"/>
  <c r="I97" i="8"/>
  <c r="H97" i="8"/>
  <c r="G97" i="8"/>
  <c r="F97" i="8"/>
  <c r="E97" i="8"/>
  <c r="D97" i="8"/>
  <c r="C97" i="8"/>
  <c r="BE96" i="8"/>
  <c r="R96" i="8"/>
  <c r="I96" i="8"/>
  <c r="H96" i="8"/>
  <c r="G96" i="8"/>
  <c r="F96" i="8"/>
  <c r="E96" i="8"/>
  <c r="D96" i="8"/>
  <c r="C96" i="8"/>
  <c r="BE95" i="8"/>
  <c r="R95" i="8"/>
  <c r="I95" i="8"/>
  <c r="H95" i="8"/>
  <c r="G95" i="8"/>
  <c r="F95" i="8"/>
  <c r="E95" i="8"/>
  <c r="D95" i="8"/>
  <c r="C95" i="8"/>
  <c r="BE94" i="8"/>
  <c r="R94" i="8"/>
  <c r="I94" i="8"/>
  <c r="H94" i="8"/>
  <c r="G94" i="8"/>
  <c r="F94" i="8"/>
  <c r="E94" i="8"/>
  <c r="D94" i="8"/>
  <c r="C94" i="8"/>
  <c r="BE93" i="8"/>
  <c r="R93" i="8"/>
  <c r="I93" i="8"/>
  <c r="H93" i="8"/>
  <c r="G93" i="8"/>
  <c r="F93" i="8"/>
  <c r="E93" i="8"/>
  <c r="D93" i="8"/>
  <c r="C93" i="8"/>
  <c r="BE92" i="8"/>
  <c r="R92" i="8"/>
  <c r="I92" i="8"/>
  <c r="H92" i="8"/>
  <c r="G92" i="8"/>
  <c r="F92" i="8"/>
  <c r="E92" i="8"/>
  <c r="D92" i="8"/>
  <c r="C92" i="8"/>
  <c r="BE91" i="8"/>
  <c r="R91" i="8"/>
  <c r="I91" i="8"/>
  <c r="H91" i="8"/>
  <c r="G91" i="8"/>
  <c r="F91" i="8"/>
  <c r="E91" i="8"/>
  <c r="D91" i="8"/>
  <c r="C91" i="8"/>
  <c r="BE90" i="8"/>
  <c r="R90" i="8"/>
  <c r="I90" i="8"/>
  <c r="H90" i="8"/>
  <c r="G90" i="8"/>
  <c r="F90" i="8"/>
  <c r="E90" i="8"/>
  <c r="D90" i="8"/>
  <c r="C90" i="8"/>
  <c r="BE89" i="8"/>
  <c r="R89" i="8"/>
  <c r="I89" i="8"/>
  <c r="H89" i="8"/>
  <c r="G89" i="8"/>
  <c r="F89" i="8"/>
  <c r="E89" i="8"/>
  <c r="D89" i="8"/>
  <c r="C89" i="8"/>
  <c r="BE88" i="8"/>
  <c r="R88" i="8"/>
  <c r="I88" i="8"/>
  <c r="H88" i="8"/>
  <c r="G88" i="8"/>
  <c r="F88" i="8"/>
  <c r="E88" i="8"/>
  <c r="D88" i="8"/>
  <c r="C88" i="8"/>
  <c r="BE87" i="8"/>
  <c r="R87" i="8"/>
  <c r="I87" i="8"/>
  <c r="H87" i="8"/>
  <c r="G87" i="8"/>
  <c r="F87" i="8"/>
  <c r="E87" i="8"/>
  <c r="D87" i="8"/>
  <c r="C87" i="8"/>
  <c r="BE86" i="8"/>
  <c r="R86" i="8"/>
  <c r="I86" i="8"/>
  <c r="H86" i="8"/>
  <c r="G86" i="8"/>
  <c r="F86" i="8"/>
  <c r="E86" i="8"/>
  <c r="D86" i="8"/>
  <c r="C86" i="8"/>
  <c r="BE85" i="8"/>
  <c r="R85" i="8"/>
  <c r="I85" i="8"/>
  <c r="H85" i="8"/>
  <c r="G85" i="8"/>
  <c r="F85" i="8"/>
  <c r="E85" i="8"/>
  <c r="D85" i="8"/>
  <c r="C85" i="8"/>
  <c r="BE84" i="8"/>
  <c r="R84" i="8"/>
  <c r="I84" i="8"/>
  <c r="H84" i="8"/>
  <c r="G84" i="8"/>
  <c r="F84" i="8"/>
  <c r="E84" i="8"/>
  <c r="D84" i="8"/>
  <c r="C84" i="8"/>
  <c r="BE83" i="8"/>
  <c r="R83" i="8"/>
  <c r="I83" i="8"/>
  <c r="H83" i="8"/>
  <c r="G83" i="8"/>
  <c r="F83" i="8"/>
  <c r="E83" i="8"/>
  <c r="D83" i="8"/>
  <c r="C83" i="8"/>
  <c r="BE82" i="8"/>
  <c r="R82" i="8"/>
  <c r="I82" i="8"/>
  <c r="H82" i="8"/>
  <c r="G82" i="8"/>
  <c r="F82" i="8"/>
  <c r="E82" i="8"/>
  <c r="D82" i="8"/>
  <c r="C82" i="8"/>
  <c r="BE81" i="8"/>
  <c r="R81" i="8"/>
  <c r="I81" i="8"/>
  <c r="H81" i="8"/>
  <c r="G81" i="8"/>
  <c r="F81" i="8"/>
  <c r="E81" i="8"/>
  <c r="D81" i="8"/>
  <c r="C81" i="8"/>
  <c r="BE80" i="8"/>
  <c r="R80" i="8"/>
  <c r="I80" i="8"/>
  <c r="H80" i="8"/>
  <c r="G80" i="8"/>
  <c r="F80" i="8"/>
  <c r="E80" i="8"/>
  <c r="D80" i="8"/>
  <c r="C80" i="8"/>
  <c r="BE79" i="8"/>
  <c r="R79" i="8"/>
  <c r="I79" i="8"/>
  <c r="H79" i="8"/>
  <c r="G79" i="8"/>
  <c r="F79" i="8"/>
  <c r="E79" i="8"/>
  <c r="D79" i="8"/>
  <c r="C79" i="8"/>
  <c r="BE78" i="8"/>
  <c r="R78" i="8"/>
  <c r="I78" i="8"/>
  <c r="H78" i="8"/>
  <c r="G78" i="8"/>
  <c r="F78" i="8"/>
  <c r="E78" i="8"/>
  <c r="D78" i="8"/>
  <c r="C78" i="8"/>
  <c r="BE77" i="8"/>
  <c r="R77" i="8"/>
  <c r="I77" i="8"/>
  <c r="H77" i="8"/>
  <c r="G77" i="8"/>
  <c r="F77" i="8"/>
  <c r="E77" i="8"/>
  <c r="D77" i="8"/>
  <c r="C77" i="8"/>
  <c r="BE76" i="8"/>
  <c r="R76" i="8"/>
  <c r="I76" i="8"/>
  <c r="H76" i="8"/>
  <c r="G76" i="8"/>
  <c r="F76" i="8"/>
  <c r="E76" i="8"/>
  <c r="D76" i="8"/>
  <c r="C76" i="8"/>
  <c r="BE75" i="8"/>
  <c r="R75" i="8"/>
  <c r="I75" i="8"/>
  <c r="H75" i="8"/>
  <c r="G75" i="8"/>
  <c r="F75" i="8"/>
  <c r="E75" i="8"/>
  <c r="D75" i="8"/>
  <c r="C75" i="8"/>
  <c r="BE74" i="8"/>
  <c r="R74" i="8"/>
  <c r="I74" i="8"/>
  <c r="H74" i="8"/>
  <c r="G74" i="8"/>
  <c r="F74" i="8"/>
  <c r="E74" i="8"/>
  <c r="D74" i="8"/>
  <c r="C74" i="8"/>
  <c r="BE73" i="8"/>
  <c r="R73" i="8"/>
  <c r="I73" i="8"/>
  <c r="H73" i="8"/>
  <c r="G73" i="8"/>
  <c r="F73" i="8"/>
  <c r="E73" i="8"/>
  <c r="D73" i="8"/>
  <c r="C73" i="8"/>
  <c r="BE72" i="8"/>
  <c r="R72" i="8"/>
  <c r="I72" i="8"/>
  <c r="H72" i="8"/>
  <c r="G72" i="8"/>
  <c r="F72" i="8"/>
  <c r="E72" i="8"/>
  <c r="D72" i="8"/>
  <c r="C72" i="8"/>
  <c r="BE71" i="8"/>
  <c r="R71" i="8"/>
  <c r="I71" i="8"/>
  <c r="H71" i="8"/>
  <c r="G71" i="8"/>
  <c r="F71" i="8"/>
  <c r="E71" i="8"/>
  <c r="D71" i="8"/>
  <c r="C71" i="8"/>
  <c r="BE70" i="8"/>
  <c r="R70" i="8"/>
  <c r="I70" i="8"/>
  <c r="H70" i="8"/>
  <c r="G70" i="8"/>
  <c r="F70" i="8"/>
  <c r="E70" i="8"/>
  <c r="D70" i="8"/>
  <c r="C70" i="8"/>
  <c r="BE69" i="8"/>
  <c r="R69" i="8"/>
  <c r="I69" i="8"/>
  <c r="H69" i="8"/>
  <c r="G69" i="8"/>
  <c r="F69" i="8"/>
  <c r="E69" i="8"/>
  <c r="D69" i="8"/>
  <c r="C69" i="8"/>
  <c r="BE68" i="8"/>
  <c r="R68" i="8"/>
  <c r="I68" i="8"/>
  <c r="H68" i="8"/>
  <c r="G68" i="8"/>
  <c r="F68" i="8"/>
  <c r="E68" i="8"/>
  <c r="D68" i="8"/>
  <c r="C68" i="8"/>
  <c r="BE67" i="8"/>
  <c r="R67" i="8"/>
  <c r="I67" i="8"/>
  <c r="H67" i="8"/>
  <c r="G67" i="8"/>
  <c r="F67" i="8"/>
  <c r="E67" i="8"/>
  <c r="D67" i="8"/>
  <c r="C67" i="8"/>
  <c r="BE66" i="8"/>
  <c r="R66" i="8"/>
  <c r="I66" i="8"/>
  <c r="H66" i="8"/>
  <c r="G66" i="8"/>
  <c r="F66" i="8"/>
  <c r="E66" i="8"/>
  <c r="D66" i="8"/>
  <c r="C66" i="8"/>
  <c r="BE65" i="8"/>
  <c r="R65" i="8"/>
  <c r="I65" i="8"/>
  <c r="H65" i="8"/>
  <c r="G65" i="8"/>
  <c r="F65" i="8"/>
  <c r="E65" i="8"/>
  <c r="D65" i="8"/>
  <c r="C65" i="8"/>
  <c r="BE64" i="8"/>
  <c r="R64" i="8"/>
  <c r="I64" i="8"/>
  <c r="H64" i="8"/>
  <c r="G64" i="8"/>
  <c r="F64" i="8"/>
  <c r="E64" i="8"/>
  <c r="D64" i="8"/>
  <c r="C64" i="8"/>
  <c r="BE63" i="8"/>
  <c r="R63" i="8"/>
  <c r="I63" i="8"/>
  <c r="H63" i="8"/>
  <c r="G63" i="8"/>
  <c r="F63" i="8"/>
  <c r="E63" i="8"/>
  <c r="D63" i="8"/>
  <c r="C63" i="8"/>
  <c r="BE62" i="8"/>
  <c r="R62" i="8"/>
  <c r="I62" i="8"/>
  <c r="H62" i="8"/>
  <c r="G62" i="8"/>
  <c r="F62" i="8"/>
  <c r="E62" i="8"/>
  <c r="D62" i="8"/>
  <c r="C62" i="8"/>
  <c r="BE61" i="8"/>
  <c r="R61" i="8"/>
  <c r="I61" i="8"/>
  <c r="H61" i="8"/>
  <c r="G61" i="8"/>
  <c r="F61" i="8"/>
  <c r="E61" i="8"/>
  <c r="D61" i="8"/>
  <c r="C61" i="8"/>
  <c r="BE60" i="8"/>
  <c r="R60" i="8"/>
  <c r="I60" i="8"/>
  <c r="H60" i="8"/>
  <c r="G60" i="8"/>
  <c r="F60" i="8"/>
  <c r="E60" i="8"/>
  <c r="D60" i="8"/>
  <c r="C60" i="8"/>
  <c r="BE59" i="8"/>
  <c r="R59" i="8"/>
  <c r="I59" i="8"/>
  <c r="H59" i="8"/>
  <c r="G59" i="8"/>
  <c r="F59" i="8"/>
  <c r="E59" i="8"/>
  <c r="D59" i="8"/>
  <c r="C59" i="8"/>
  <c r="BE58" i="8"/>
  <c r="R58" i="8"/>
  <c r="I58" i="8"/>
  <c r="H58" i="8"/>
  <c r="G58" i="8"/>
  <c r="F58" i="8"/>
  <c r="E58" i="8"/>
  <c r="D58" i="8"/>
  <c r="C58" i="8"/>
  <c r="BE57" i="8"/>
  <c r="R57" i="8"/>
  <c r="I57" i="8"/>
  <c r="H57" i="8"/>
  <c r="G57" i="8"/>
  <c r="F57" i="8"/>
  <c r="E57" i="8"/>
  <c r="D57" i="8"/>
  <c r="C57" i="8"/>
  <c r="BE56" i="8"/>
  <c r="R56" i="8"/>
  <c r="I56" i="8"/>
  <c r="H56" i="8"/>
  <c r="G56" i="8"/>
  <c r="F56" i="8"/>
  <c r="E56" i="8"/>
  <c r="D56" i="8"/>
  <c r="C56" i="8"/>
  <c r="BE55" i="8"/>
  <c r="R55" i="8"/>
  <c r="I55" i="8"/>
  <c r="H55" i="8"/>
  <c r="G55" i="8"/>
  <c r="F55" i="8"/>
  <c r="E55" i="8"/>
  <c r="D55" i="8"/>
  <c r="C55" i="8"/>
  <c r="BE54" i="8"/>
  <c r="R54" i="8"/>
  <c r="I54" i="8"/>
  <c r="H54" i="8"/>
  <c r="G54" i="8"/>
  <c r="F54" i="8"/>
  <c r="E54" i="8"/>
  <c r="D54" i="8"/>
  <c r="C54" i="8"/>
  <c r="BE53" i="8"/>
  <c r="R53" i="8"/>
  <c r="I53" i="8"/>
  <c r="H53" i="8"/>
  <c r="G53" i="8"/>
  <c r="F53" i="8"/>
  <c r="E53" i="8"/>
  <c r="D53" i="8"/>
  <c r="C53" i="8"/>
  <c r="BE52" i="8"/>
  <c r="R52" i="8"/>
  <c r="I52" i="8"/>
  <c r="H52" i="8"/>
  <c r="G52" i="8"/>
  <c r="F52" i="8"/>
  <c r="E52" i="8"/>
  <c r="D52" i="8"/>
  <c r="C52" i="8"/>
  <c r="BE51" i="8"/>
  <c r="R51" i="8"/>
  <c r="I51" i="8"/>
  <c r="H51" i="8"/>
  <c r="G51" i="8"/>
  <c r="F51" i="8"/>
  <c r="E51" i="8"/>
  <c r="D51" i="8"/>
  <c r="C51" i="8"/>
  <c r="BE50" i="8"/>
  <c r="R50" i="8"/>
  <c r="I50" i="8"/>
  <c r="H50" i="8"/>
  <c r="G50" i="8"/>
  <c r="F50" i="8"/>
  <c r="E50" i="8"/>
  <c r="D50" i="8"/>
  <c r="C50" i="8"/>
  <c r="BE49" i="8"/>
  <c r="R49" i="8"/>
  <c r="I49" i="8"/>
  <c r="H49" i="8"/>
  <c r="G49" i="8"/>
  <c r="F49" i="8"/>
  <c r="E49" i="8"/>
  <c r="D49" i="8"/>
  <c r="C49" i="8"/>
  <c r="BE48" i="8"/>
  <c r="R48" i="8"/>
  <c r="I48" i="8"/>
  <c r="H48" i="8"/>
  <c r="G48" i="8"/>
  <c r="F48" i="8"/>
  <c r="E48" i="8"/>
  <c r="D48" i="8"/>
  <c r="C48" i="8"/>
  <c r="BE47" i="8"/>
  <c r="R47" i="8"/>
  <c r="I47" i="8"/>
  <c r="H47" i="8"/>
  <c r="G47" i="8"/>
  <c r="F47" i="8"/>
  <c r="E47" i="8"/>
  <c r="D47" i="8"/>
  <c r="C47" i="8"/>
  <c r="R46" i="8"/>
  <c r="I46" i="8"/>
  <c r="H46" i="8"/>
  <c r="G46" i="8"/>
  <c r="F46" i="8"/>
  <c r="E46" i="8"/>
  <c r="D46" i="8"/>
  <c r="C46" i="8"/>
  <c r="BE45" i="8"/>
  <c r="R45" i="8"/>
  <c r="I45" i="8"/>
  <c r="H45" i="8"/>
  <c r="G45" i="8"/>
  <c r="F45" i="8"/>
  <c r="E45" i="8"/>
  <c r="D45" i="8"/>
  <c r="C45" i="8"/>
  <c r="BE44" i="8"/>
  <c r="R44" i="8"/>
  <c r="I44" i="8"/>
  <c r="H44" i="8"/>
  <c r="G44" i="8"/>
  <c r="F44" i="8"/>
  <c r="E44" i="8"/>
  <c r="D44" i="8"/>
  <c r="C44" i="8"/>
  <c r="BE43" i="8"/>
  <c r="R43" i="8"/>
  <c r="I43" i="8"/>
  <c r="H43" i="8"/>
  <c r="G43" i="8"/>
  <c r="F43" i="8"/>
  <c r="E43" i="8"/>
  <c r="D43" i="8"/>
  <c r="C43" i="8"/>
  <c r="BE42" i="8"/>
  <c r="R42" i="8"/>
  <c r="I42" i="8"/>
  <c r="H42" i="8"/>
  <c r="G42" i="8"/>
  <c r="F42" i="8"/>
  <c r="E42" i="8"/>
  <c r="D42" i="8"/>
  <c r="C42" i="8"/>
  <c r="BE41" i="8"/>
  <c r="R41" i="8"/>
  <c r="I41" i="8"/>
  <c r="H41" i="8"/>
  <c r="G41" i="8"/>
  <c r="F41" i="8"/>
  <c r="E41" i="8"/>
  <c r="D41" i="8"/>
  <c r="C41" i="8"/>
  <c r="BE40" i="8"/>
  <c r="R40" i="8"/>
  <c r="I40" i="8"/>
  <c r="H40" i="8"/>
  <c r="G40" i="8"/>
  <c r="F40" i="8"/>
  <c r="E40" i="8"/>
  <c r="D40" i="8"/>
  <c r="C40" i="8"/>
  <c r="BE39" i="8"/>
  <c r="R39" i="8"/>
  <c r="I39" i="8"/>
  <c r="H39" i="8"/>
  <c r="G39" i="8"/>
  <c r="F39" i="8"/>
  <c r="E39" i="8"/>
  <c r="D39" i="8"/>
  <c r="C39" i="8"/>
  <c r="BE38" i="8"/>
  <c r="R38" i="8"/>
  <c r="I38" i="8"/>
  <c r="H38" i="8"/>
  <c r="G38" i="8"/>
  <c r="F38" i="8"/>
  <c r="E38" i="8"/>
  <c r="D38" i="8"/>
  <c r="C38" i="8"/>
  <c r="BE37" i="8"/>
  <c r="R37" i="8"/>
  <c r="I37" i="8"/>
  <c r="H37" i="8"/>
  <c r="G37" i="8"/>
  <c r="F37" i="8"/>
  <c r="E37" i="8"/>
  <c r="D37" i="8"/>
  <c r="C37" i="8"/>
  <c r="BE36" i="8"/>
  <c r="R36" i="8"/>
  <c r="I36" i="8"/>
  <c r="H36" i="8"/>
  <c r="G36" i="8"/>
  <c r="F36" i="8"/>
  <c r="E36" i="8"/>
  <c r="D36" i="8"/>
  <c r="C36" i="8"/>
  <c r="BE35" i="8"/>
  <c r="R35" i="8"/>
  <c r="I35" i="8"/>
  <c r="H35" i="8"/>
  <c r="G35" i="8"/>
  <c r="F35" i="8"/>
  <c r="E35" i="8"/>
  <c r="D35" i="8"/>
  <c r="C35" i="8"/>
  <c r="BE34" i="8"/>
  <c r="R34" i="8"/>
  <c r="I34" i="8"/>
  <c r="H34" i="8"/>
  <c r="G34" i="8"/>
  <c r="F34" i="8"/>
  <c r="E34" i="8"/>
  <c r="D34" i="8"/>
  <c r="C34" i="8"/>
  <c r="BE33" i="8"/>
  <c r="R33" i="8"/>
  <c r="I33" i="8"/>
  <c r="H33" i="8"/>
  <c r="G33" i="8"/>
  <c r="F33" i="8"/>
  <c r="E33" i="8"/>
  <c r="D33" i="8"/>
  <c r="C33" i="8"/>
  <c r="BE32" i="8"/>
  <c r="R32" i="8"/>
  <c r="I32" i="8"/>
  <c r="H32" i="8"/>
  <c r="G32" i="8"/>
  <c r="F32" i="8"/>
  <c r="E32" i="8"/>
  <c r="D32" i="8"/>
  <c r="C32" i="8"/>
  <c r="BE31" i="8"/>
  <c r="R31" i="8"/>
  <c r="I31" i="8"/>
  <c r="H31" i="8"/>
  <c r="G31" i="8"/>
  <c r="F31" i="8"/>
  <c r="E31" i="8"/>
  <c r="D31" i="8"/>
  <c r="C31" i="8"/>
  <c r="BE30" i="8"/>
  <c r="R30" i="8"/>
  <c r="I30" i="8"/>
  <c r="H30" i="8"/>
  <c r="G30" i="8"/>
  <c r="F30" i="8"/>
  <c r="E30" i="8"/>
  <c r="D30" i="8"/>
  <c r="C30" i="8"/>
  <c r="BE29" i="8"/>
  <c r="R29" i="8"/>
  <c r="I29" i="8"/>
  <c r="H29" i="8"/>
  <c r="G29" i="8"/>
  <c r="F29" i="8"/>
  <c r="E29" i="8"/>
  <c r="D29" i="8"/>
  <c r="C29" i="8"/>
  <c r="BE28" i="8"/>
  <c r="R28" i="8"/>
  <c r="I28" i="8"/>
  <c r="H28" i="8"/>
  <c r="G28" i="8"/>
  <c r="F28" i="8"/>
  <c r="E28" i="8"/>
  <c r="D28" i="8"/>
  <c r="C28" i="8"/>
  <c r="BE27" i="8"/>
  <c r="R27" i="8"/>
  <c r="I27" i="8"/>
  <c r="H27" i="8"/>
  <c r="G27" i="8"/>
  <c r="F27" i="8"/>
  <c r="E27" i="8"/>
  <c r="D27" i="8"/>
  <c r="C27" i="8"/>
  <c r="BE26" i="8"/>
  <c r="R26" i="8"/>
  <c r="I26" i="8"/>
  <c r="H26" i="8"/>
  <c r="G26" i="8"/>
  <c r="F26" i="8"/>
  <c r="E26" i="8"/>
  <c r="D26" i="8"/>
  <c r="C26" i="8"/>
  <c r="BE25" i="8"/>
  <c r="R25" i="8"/>
  <c r="I25" i="8"/>
  <c r="H25" i="8"/>
  <c r="G25" i="8"/>
  <c r="F25" i="8"/>
  <c r="E25" i="8"/>
  <c r="D25" i="8"/>
  <c r="C25" i="8"/>
  <c r="BE24" i="8"/>
  <c r="R24" i="8"/>
  <c r="I24" i="8"/>
  <c r="H24" i="8"/>
  <c r="G24" i="8"/>
  <c r="F24" i="8"/>
  <c r="E24" i="8"/>
  <c r="D24" i="8"/>
  <c r="C24" i="8"/>
  <c r="BE23" i="8"/>
  <c r="R23" i="8"/>
  <c r="I23" i="8"/>
  <c r="H23" i="8"/>
  <c r="G23" i="8"/>
  <c r="F23" i="8"/>
  <c r="E23" i="8"/>
  <c r="D23" i="8"/>
  <c r="C23" i="8"/>
  <c r="BE22" i="8"/>
  <c r="R22" i="8"/>
  <c r="I22" i="8"/>
  <c r="H22" i="8"/>
  <c r="G22" i="8"/>
  <c r="F22" i="8"/>
  <c r="E22" i="8"/>
  <c r="D22" i="8"/>
  <c r="C22" i="8"/>
  <c r="BE21" i="8"/>
  <c r="R21" i="8"/>
  <c r="I21" i="8"/>
  <c r="H21" i="8"/>
  <c r="G21" i="8"/>
  <c r="F21" i="8"/>
  <c r="E21" i="8"/>
  <c r="D21" i="8"/>
  <c r="C21" i="8"/>
  <c r="BE20" i="8"/>
  <c r="R20" i="8"/>
  <c r="I20" i="8"/>
  <c r="H20" i="8"/>
  <c r="G20" i="8"/>
  <c r="F20" i="8"/>
  <c r="E20" i="8"/>
  <c r="D20" i="8"/>
  <c r="C20" i="8"/>
  <c r="BE19" i="8"/>
  <c r="R19" i="8"/>
  <c r="I19" i="8"/>
  <c r="H19" i="8"/>
  <c r="G19" i="8"/>
  <c r="F19" i="8"/>
  <c r="E19" i="8"/>
  <c r="D19" i="8"/>
  <c r="C19" i="8"/>
  <c r="BE18" i="8"/>
  <c r="R18" i="8"/>
  <c r="I18" i="8"/>
  <c r="H18" i="8"/>
  <c r="G18" i="8"/>
  <c r="F18" i="8"/>
  <c r="E18" i="8"/>
  <c r="D18" i="8"/>
  <c r="C18" i="8"/>
  <c r="BE17" i="8"/>
  <c r="R17" i="8"/>
  <c r="I17" i="8"/>
  <c r="H17" i="8"/>
  <c r="G17" i="8"/>
  <c r="F17" i="8"/>
  <c r="E17" i="8"/>
  <c r="D17" i="8"/>
  <c r="C17" i="8"/>
  <c r="BE16" i="8"/>
  <c r="R16" i="8"/>
  <c r="I16" i="8"/>
  <c r="H16" i="8"/>
  <c r="G16" i="8"/>
  <c r="F16" i="8"/>
  <c r="E16" i="8"/>
  <c r="D16" i="8"/>
  <c r="C16" i="8"/>
  <c r="BE15" i="8"/>
  <c r="R15" i="8"/>
  <c r="I15" i="8"/>
  <c r="H15" i="8"/>
  <c r="G15" i="8"/>
  <c r="F15" i="8"/>
  <c r="E15" i="8"/>
  <c r="D15" i="8"/>
  <c r="C15" i="8"/>
  <c r="BE14" i="8"/>
  <c r="R14" i="8"/>
  <c r="I14" i="8"/>
  <c r="H14" i="8"/>
  <c r="G14" i="8"/>
  <c r="F14" i="8"/>
  <c r="E14" i="8"/>
  <c r="D14" i="8"/>
  <c r="C14" i="8"/>
  <c r="BE13" i="8"/>
  <c r="R13" i="8"/>
  <c r="I13" i="8"/>
  <c r="H13" i="8"/>
  <c r="G13" i="8"/>
  <c r="F13" i="8"/>
  <c r="E13" i="8"/>
  <c r="D13" i="8"/>
  <c r="C13" i="8"/>
  <c r="BE12" i="8"/>
  <c r="R12" i="8"/>
  <c r="I12" i="8"/>
  <c r="H12" i="8"/>
  <c r="G12" i="8"/>
  <c r="F12" i="8"/>
  <c r="E12" i="8"/>
  <c r="D12" i="8"/>
  <c r="C12" i="8"/>
  <c r="BE11" i="8"/>
  <c r="R11" i="8"/>
  <c r="I11" i="8"/>
  <c r="H11" i="8"/>
  <c r="G11" i="8"/>
  <c r="F11" i="8"/>
  <c r="E11" i="8"/>
  <c r="D11" i="8"/>
  <c r="C11" i="8"/>
  <c r="BE10" i="8"/>
  <c r="R10" i="8"/>
  <c r="I10" i="8"/>
  <c r="H10" i="8"/>
  <c r="G10" i="8"/>
  <c r="F10" i="8"/>
  <c r="E10" i="8"/>
  <c r="D10" i="8"/>
  <c r="C10" i="8"/>
  <c r="BE9" i="8"/>
  <c r="R9" i="8"/>
  <c r="I9" i="8"/>
  <c r="H9" i="8"/>
  <c r="G9" i="8"/>
  <c r="F9" i="8"/>
  <c r="E9" i="8"/>
  <c r="D9" i="8"/>
  <c r="C9" i="8"/>
  <c r="BE8" i="8"/>
  <c r="R8" i="8"/>
  <c r="I8" i="8"/>
  <c r="H8" i="8"/>
  <c r="G8" i="8"/>
  <c r="F8" i="8"/>
  <c r="E8" i="8"/>
  <c r="D8" i="8"/>
  <c r="C8" i="8"/>
  <c r="BE7" i="8"/>
  <c r="R7" i="8"/>
  <c r="I7" i="8"/>
  <c r="H7" i="8"/>
  <c r="G7" i="8"/>
  <c r="F7" i="8"/>
  <c r="E7" i="8"/>
  <c r="D7" i="8"/>
  <c r="C7" i="8"/>
  <c r="BE6" i="8"/>
  <c r="R6" i="8"/>
  <c r="I6" i="8"/>
  <c r="H6" i="8"/>
  <c r="G6" i="8"/>
  <c r="F6" i="8"/>
  <c r="E6" i="8"/>
  <c r="D6" i="8"/>
  <c r="C6" i="8"/>
  <c r="BE5" i="8"/>
  <c r="R5" i="8"/>
  <c r="I5" i="8"/>
  <c r="H5" i="8"/>
  <c r="G5" i="8"/>
  <c r="F5" i="8"/>
  <c r="E5" i="8"/>
  <c r="D5" i="8"/>
  <c r="C5" i="8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B122" i="5"/>
  <c r="AA122" i="5"/>
  <c r="Z122" i="5"/>
  <c r="X122" i="5"/>
  <c r="V122" i="5"/>
  <c r="R122" i="5"/>
  <c r="Q122" i="5"/>
  <c r="P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R121" i="5"/>
  <c r="BE120" i="5"/>
  <c r="R120" i="5"/>
  <c r="I120" i="5"/>
  <c r="H120" i="5"/>
  <c r="G120" i="5"/>
  <c r="F120" i="5"/>
  <c r="E120" i="5"/>
  <c r="D120" i="5"/>
  <c r="C120" i="5"/>
  <c r="R119" i="5"/>
  <c r="BE118" i="5"/>
  <c r="R118" i="5"/>
  <c r="I118" i="5"/>
  <c r="H118" i="5"/>
  <c r="G118" i="5"/>
  <c r="F118" i="5"/>
  <c r="E118" i="5"/>
  <c r="D118" i="5"/>
  <c r="C118" i="5"/>
  <c r="BE117" i="5"/>
  <c r="R117" i="5"/>
  <c r="I117" i="5"/>
  <c r="H117" i="5"/>
  <c r="G117" i="5"/>
  <c r="F117" i="5"/>
  <c r="E117" i="5"/>
  <c r="D117" i="5"/>
  <c r="C117" i="5"/>
  <c r="BE116" i="5"/>
  <c r="R116" i="5"/>
  <c r="I116" i="5"/>
  <c r="H116" i="5"/>
  <c r="G116" i="5"/>
  <c r="F116" i="5"/>
  <c r="E116" i="5"/>
  <c r="D116" i="5"/>
  <c r="C116" i="5"/>
  <c r="R115" i="5"/>
  <c r="I115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R114" i="5"/>
  <c r="Q114" i="5"/>
  <c r="P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E113" i="5"/>
  <c r="R113" i="5"/>
  <c r="I113" i="5"/>
  <c r="H113" i="5"/>
  <c r="G113" i="5"/>
  <c r="F113" i="5"/>
  <c r="E113" i="5"/>
  <c r="D113" i="5"/>
  <c r="C113" i="5"/>
  <c r="BE112" i="5"/>
  <c r="R112" i="5"/>
  <c r="I112" i="5"/>
  <c r="H112" i="5"/>
  <c r="G112" i="5"/>
  <c r="F112" i="5"/>
  <c r="E112" i="5"/>
  <c r="D112" i="5"/>
  <c r="C112" i="5"/>
  <c r="BE111" i="5"/>
  <c r="R111" i="5"/>
  <c r="I111" i="5"/>
  <c r="H111" i="5"/>
  <c r="G111" i="5"/>
  <c r="F111" i="5"/>
  <c r="E111" i="5"/>
  <c r="D111" i="5"/>
  <c r="C111" i="5"/>
  <c r="BE110" i="5"/>
  <c r="R110" i="5"/>
  <c r="I110" i="5"/>
  <c r="H110" i="5"/>
  <c r="G110" i="5"/>
  <c r="F110" i="5"/>
  <c r="E110" i="5"/>
  <c r="D110" i="5"/>
  <c r="C110" i="5"/>
  <c r="BE109" i="5"/>
  <c r="R109" i="5"/>
  <c r="I109" i="5"/>
  <c r="H109" i="5"/>
  <c r="G109" i="5"/>
  <c r="F109" i="5"/>
  <c r="E109" i="5"/>
  <c r="D109" i="5"/>
  <c r="C109" i="5"/>
  <c r="BE108" i="5"/>
  <c r="R108" i="5"/>
  <c r="I108" i="5"/>
  <c r="H108" i="5"/>
  <c r="G108" i="5"/>
  <c r="F108" i="5"/>
  <c r="E108" i="5"/>
  <c r="D108" i="5"/>
  <c r="C108" i="5"/>
  <c r="BE107" i="5"/>
  <c r="R107" i="5"/>
  <c r="I107" i="5"/>
  <c r="H107" i="5"/>
  <c r="G107" i="5"/>
  <c r="F107" i="5"/>
  <c r="E107" i="5"/>
  <c r="D107" i="5"/>
  <c r="C107" i="5"/>
  <c r="BE106" i="5"/>
  <c r="R106" i="5"/>
  <c r="I106" i="5"/>
  <c r="H106" i="5"/>
  <c r="G106" i="5"/>
  <c r="F106" i="5"/>
  <c r="E106" i="5"/>
  <c r="D106" i="5"/>
  <c r="C106" i="5"/>
  <c r="BE105" i="5"/>
  <c r="R105" i="5"/>
  <c r="I105" i="5"/>
  <c r="H105" i="5"/>
  <c r="G105" i="5"/>
  <c r="F105" i="5"/>
  <c r="E105" i="5"/>
  <c r="D105" i="5"/>
  <c r="C105" i="5"/>
  <c r="BE104" i="5"/>
  <c r="R104" i="5"/>
  <c r="I104" i="5"/>
  <c r="H104" i="5"/>
  <c r="G104" i="5"/>
  <c r="F104" i="5"/>
  <c r="E104" i="5"/>
  <c r="D104" i="5"/>
  <c r="C104" i="5"/>
  <c r="BE103" i="5"/>
  <c r="R103" i="5"/>
  <c r="I103" i="5"/>
  <c r="H103" i="5"/>
  <c r="G103" i="5"/>
  <c r="F103" i="5"/>
  <c r="E103" i="5"/>
  <c r="D103" i="5"/>
  <c r="C103" i="5"/>
  <c r="BE102" i="5"/>
  <c r="R102" i="5"/>
  <c r="I102" i="5"/>
  <c r="H102" i="5"/>
  <c r="G102" i="5"/>
  <c r="F102" i="5"/>
  <c r="E102" i="5"/>
  <c r="D102" i="5"/>
  <c r="C102" i="5"/>
  <c r="BE101" i="5"/>
  <c r="R101" i="5"/>
  <c r="I101" i="5"/>
  <c r="H101" i="5"/>
  <c r="G101" i="5"/>
  <c r="F101" i="5"/>
  <c r="E101" i="5"/>
  <c r="D101" i="5"/>
  <c r="C101" i="5"/>
  <c r="BE100" i="5"/>
  <c r="R100" i="5"/>
  <c r="I100" i="5"/>
  <c r="H100" i="5"/>
  <c r="G100" i="5"/>
  <c r="F100" i="5"/>
  <c r="E100" i="5"/>
  <c r="D100" i="5"/>
  <c r="C100" i="5"/>
  <c r="BE99" i="5"/>
  <c r="R99" i="5"/>
  <c r="I99" i="5"/>
  <c r="H99" i="5"/>
  <c r="G99" i="5"/>
  <c r="F99" i="5"/>
  <c r="E99" i="5"/>
  <c r="D99" i="5"/>
  <c r="C99" i="5"/>
  <c r="BE98" i="5"/>
  <c r="R98" i="5"/>
  <c r="I98" i="5"/>
  <c r="H98" i="5"/>
  <c r="G98" i="5"/>
  <c r="F98" i="5"/>
  <c r="E98" i="5"/>
  <c r="D98" i="5"/>
  <c r="C98" i="5"/>
  <c r="BE97" i="5"/>
  <c r="R97" i="5"/>
  <c r="I97" i="5"/>
  <c r="H97" i="5"/>
  <c r="G97" i="5"/>
  <c r="F97" i="5"/>
  <c r="E97" i="5"/>
  <c r="D97" i="5"/>
  <c r="C97" i="5"/>
  <c r="BE96" i="5"/>
  <c r="R96" i="5"/>
  <c r="I96" i="5"/>
  <c r="H96" i="5"/>
  <c r="G96" i="5"/>
  <c r="F96" i="5"/>
  <c r="E96" i="5"/>
  <c r="D96" i="5"/>
  <c r="C96" i="5"/>
  <c r="BE95" i="5"/>
  <c r="R95" i="5"/>
  <c r="I95" i="5"/>
  <c r="H95" i="5"/>
  <c r="G95" i="5"/>
  <c r="F95" i="5"/>
  <c r="E95" i="5"/>
  <c r="D95" i="5"/>
  <c r="C95" i="5"/>
  <c r="BE94" i="5"/>
  <c r="R94" i="5"/>
  <c r="I94" i="5"/>
  <c r="H94" i="5"/>
  <c r="G94" i="5"/>
  <c r="F94" i="5"/>
  <c r="E94" i="5"/>
  <c r="D94" i="5"/>
  <c r="C94" i="5"/>
  <c r="BE93" i="5"/>
  <c r="R93" i="5"/>
  <c r="I93" i="5"/>
  <c r="H93" i="5"/>
  <c r="G93" i="5"/>
  <c r="F93" i="5"/>
  <c r="E93" i="5"/>
  <c r="D93" i="5"/>
  <c r="C93" i="5"/>
  <c r="BE92" i="5"/>
  <c r="R92" i="5"/>
  <c r="I92" i="5"/>
  <c r="H92" i="5"/>
  <c r="G92" i="5"/>
  <c r="F92" i="5"/>
  <c r="E92" i="5"/>
  <c r="D92" i="5"/>
  <c r="C92" i="5"/>
  <c r="BE91" i="5"/>
  <c r="R91" i="5"/>
  <c r="I91" i="5"/>
  <c r="H91" i="5"/>
  <c r="G91" i="5"/>
  <c r="F91" i="5"/>
  <c r="E91" i="5"/>
  <c r="D91" i="5"/>
  <c r="C91" i="5"/>
  <c r="BE90" i="5"/>
  <c r="R90" i="5"/>
  <c r="I90" i="5"/>
  <c r="H90" i="5"/>
  <c r="G90" i="5"/>
  <c r="F90" i="5"/>
  <c r="E90" i="5"/>
  <c r="D90" i="5"/>
  <c r="C90" i="5"/>
  <c r="BE89" i="5"/>
  <c r="R89" i="5"/>
  <c r="I89" i="5"/>
  <c r="H89" i="5"/>
  <c r="G89" i="5"/>
  <c r="F89" i="5"/>
  <c r="E89" i="5"/>
  <c r="D89" i="5"/>
  <c r="C89" i="5"/>
  <c r="BE88" i="5"/>
  <c r="R88" i="5"/>
  <c r="I88" i="5"/>
  <c r="H88" i="5"/>
  <c r="G88" i="5"/>
  <c r="F88" i="5"/>
  <c r="E88" i="5"/>
  <c r="D88" i="5"/>
  <c r="C88" i="5"/>
  <c r="BE87" i="5"/>
  <c r="R87" i="5"/>
  <c r="I87" i="5"/>
  <c r="H87" i="5"/>
  <c r="G87" i="5"/>
  <c r="F87" i="5"/>
  <c r="E87" i="5"/>
  <c r="D87" i="5"/>
  <c r="C87" i="5"/>
  <c r="BE86" i="5"/>
  <c r="R86" i="5"/>
  <c r="I86" i="5"/>
  <c r="H86" i="5"/>
  <c r="G86" i="5"/>
  <c r="F86" i="5"/>
  <c r="E86" i="5"/>
  <c r="D86" i="5"/>
  <c r="C86" i="5"/>
  <c r="BE85" i="5"/>
  <c r="R85" i="5"/>
  <c r="I85" i="5"/>
  <c r="H85" i="5"/>
  <c r="G85" i="5"/>
  <c r="F85" i="5"/>
  <c r="E85" i="5"/>
  <c r="D85" i="5"/>
  <c r="C85" i="5"/>
  <c r="BE84" i="5"/>
  <c r="R84" i="5"/>
  <c r="I84" i="5"/>
  <c r="H84" i="5"/>
  <c r="G84" i="5"/>
  <c r="F84" i="5"/>
  <c r="E84" i="5"/>
  <c r="D84" i="5"/>
  <c r="C84" i="5"/>
  <c r="BE83" i="5"/>
  <c r="R83" i="5"/>
  <c r="I83" i="5"/>
  <c r="H83" i="5"/>
  <c r="G83" i="5"/>
  <c r="F83" i="5"/>
  <c r="E83" i="5"/>
  <c r="D83" i="5"/>
  <c r="C83" i="5"/>
  <c r="BE82" i="5"/>
  <c r="R82" i="5"/>
  <c r="I82" i="5"/>
  <c r="H82" i="5"/>
  <c r="G82" i="5"/>
  <c r="F82" i="5"/>
  <c r="E82" i="5"/>
  <c r="D82" i="5"/>
  <c r="C82" i="5"/>
  <c r="BE81" i="5"/>
  <c r="R81" i="5"/>
  <c r="I81" i="5"/>
  <c r="H81" i="5"/>
  <c r="G81" i="5"/>
  <c r="F81" i="5"/>
  <c r="E81" i="5"/>
  <c r="D81" i="5"/>
  <c r="C81" i="5"/>
  <c r="BE80" i="5"/>
  <c r="R80" i="5"/>
  <c r="I80" i="5"/>
  <c r="H80" i="5"/>
  <c r="G80" i="5"/>
  <c r="F80" i="5"/>
  <c r="E80" i="5"/>
  <c r="D80" i="5"/>
  <c r="C80" i="5"/>
  <c r="BE79" i="5"/>
  <c r="R79" i="5"/>
  <c r="I79" i="5"/>
  <c r="H79" i="5"/>
  <c r="G79" i="5"/>
  <c r="F79" i="5"/>
  <c r="E79" i="5"/>
  <c r="D79" i="5"/>
  <c r="C79" i="5"/>
  <c r="BE78" i="5"/>
  <c r="R78" i="5"/>
  <c r="I78" i="5"/>
  <c r="H78" i="5"/>
  <c r="G78" i="5"/>
  <c r="F78" i="5"/>
  <c r="E78" i="5"/>
  <c r="D78" i="5"/>
  <c r="C78" i="5"/>
  <c r="BE77" i="5"/>
  <c r="R77" i="5"/>
  <c r="I77" i="5"/>
  <c r="H77" i="5"/>
  <c r="G77" i="5"/>
  <c r="F77" i="5"/>
  <c r="E77" i="5"/>
  <c r="D77" i="5"/>
  <c r="C77" i="5"/>
  <c r="BE76" i="5"/>
  <c r="R76" i="5"/>
  <c r="I76" i="5"/>
  <c r="H76" i="5"/>
  <c r="G76" i="5"/>
  <c r="F76" i="5"/>
  <c r="E76" i="5"/>
  <c r="D76" i="5"/>
  <c r="C76" i="5"/>
  <c r="BE75" i="5"/>
  <c r="R75" i="5"/>
  <c r="I75" i="5"/>
  <c r="H75" i="5"/>
  <c r="G75" i="5"/>
  <c r="F75" i="5"/>
  <c r="E75" i="5"/>
  <c r="D75" i="5"/>
  <c r="C75" i="5"/>
  <c r="BE74" i="5"/>
  <c r="R74" i="5"/>
  <c r="I74" i="5"/>
  <c r="H74" i="5"/>
  <c r="G74" i="5"/>
  <c r="F74" i="5"/>
  <c r="E74" i="5"/>
  <c r="D74" i="5"/>
  <c r="C74" i="5"/>
  <c r="BE73" i="5"/>
  <c r="R73" i="5"/>
  <c r="I73" i="5"/>
  <c r="H73" i="5"/>
  <c r="G73" i="5"/>
  <c r="F73" i="5"/>
  <c r="E73" i="5"/>
  <c r="D73" i="5"/>
  <c r="C73" i="5"/>
  <c r="BE72" i="5"/>
  <c r="R72" i="5"/>
  <c r="I72" i="5"/>
  <c r="H72" i="5"/>
  <c r="G72" i="5"/>
  <c r="F72" i="5"/>
  <c r="E72" i="5"/>
  <c r="D72" i="5"/>
  <c r="C72" i="5"/>
  <c r="BE71" i="5"/>
  <c r="R71" i="5"/>
  <c r="I71" i="5"/>
  <c r="H71" i="5"/>
  <c r="G71" i="5"/>
  <c r="F71" i="5"/>
  <c r="E71" i="5"/>
  <c r="D71" i="5"/>
  <c r="C71" i="5"/>
  <c r="BE70" i="5"/>
  <c r="R70" i="5"/>
  <c r="I70" i="5"/>
  <c r="H70" i="5"/>
  <c r="G70" i="5"/>
  <c r="F70" i="5"/>
  <c r="E70" i="5"/>
  <c r="D70" i="5"/>
  <c r="C70" i="5"/>
  <c r="BE69" i="5"/>
  <c r="R69" i="5"/>
  <c r="I69" i="5"/>
  <c r="H69" i="5"/>
  <c r="G69" i="5"/>
  <c r="F69" i="5"/>
  <c r="E69" i="5"/>
  <c r="D69" i="5"/>
  <c r="C69" i="5"/>
  <c r="BE68" i="5"/>
  <c r="R68" i="5"/>
  <c r="I68" i="5"/>
  <c r="H68" i="5"/>
  <c r="G68" i="5"/>
  <c r="F68" i="5"/>
  <c r="E68" i="5"/>
  <c r="D68" i="5"/>
  <c r="C68" i="5"/>
  <c r="BE67" i="5"/>
  <c r="R67" i="5"/>
  <c r="I67" i="5"/>
  <c r="H67" i="5"/>
  <c r="G67" i="5"/>
  <c r="F67" i="5"/>
  <c r="E67" i="5"/>
  <c r="D67" i="5"/>
  <c r="C67" i="5"/>
  <c r="BE66" i="5"/>
  <c r="R66" i="5"/>
  <c r="I66" i="5"/>
  <c r="H66" i="5"/>
  <c r="G66" i="5"/>
  <c r="F66" i="5"/>
  <c r="E66" i="5"/>
  <c r="D66" i="5"/>
  <c r="C66" i="5"/>
  <c r="BE65" i="5"/>
  <c r="R65" i="5"/>
  <c r="I65" i="5"/>
  <c r="H65" i="5"/>
  <c r="G65" i="5"/>
  <c r="F65" i="5"/>
  <c r="E65" i="5"/>
  <c r="D65" i="5"/>
  <c r="C65" i="5"/>
  <c r="BE64" i="5"/>
  <c r="R64" i="5"/>
  <c r="I64" i="5"/>
  <c r="H64" i="5"/>
  <c r="G64" i="5"/>
  <c r="F64" i="5"/>
  <c r="E64" i="5"/>
  <c r="D64" i="5"/>
  <c r="C64" i="5"/>
  <c r="BE63" i="5"/>
  <c r="R63" i="5"/>
  <c r="I63" i="5"/>
  <c r="H63" i="5"/>
  <c r="G63" i="5"/>
  <c r="F63" i="5"/>
  <c r="E63" i="5"/>
  <c r="D63" i="5"/>
  <c r="C63" i="5"/>
  <c r="BE62" i="5"/>
  <c r="R62" i="5"/>
  <c r="I62" i="5"/>
  <c r="H62" i="5"/>
  <c r="G62" i="5"/>
  <c r="F62" i="5"/>
  <c r="E62" i="5"/>
  <c r="D62" i="5"/>
  <c r="C62" i="5"/>
  <c r="BE61" i="5"/>
  <c r="R61" i="5"/>
  <c r="I61" i="5"/>
  <c r="H61" i="5"/>
  <c r="G61" i="5"/>
  <c r="F61" i="5"/>
  <c r="E61" i="5"/>
  <c r="D61" i="5"/>
  <c r="C61" i="5"/>
  <c r="BE60" i="5"/>
  <c r="R60" i="5"/>
  <c r="I60" i="5"/>
  <c r="H60" i="5"/>
  <c r="G60" i="5"/>
  <c r="F60" i="5"/>
  <c r="E60" i="5"/>
  <c r="D60" i="5"/>
  <c r="C60" i="5"/>
  <c r="BE59" i="5"/>
  <c r="R59" i="5"/>
  <c r="I59" i="5"/>
  <c r="H59" i="5"/>
  <c r="G59" i="5"/>
  <c r="F59" i="5"/>
  <c r="E59" i="5"/>
  <c r="D59" i="5"/>
  <c r="C59" i="5"/>
  <c r="BE58" i="5"/>
  <c r="R58" i="5"/>
  <c r="I58" i="5"/>
  <c r="H58" i="5"/>
  <c r="G58" i="5"/>
  <c r="F58" i="5"/>
  <c r="E58" i="5"/>
  <c r="D58" i="5"/>
  <c r="C58" i="5"/>
  <c r="BE57" i="5"/>
  <c r="R57" i="5"/>
  <c r="I57" i="5"/>
  <c r="H57" i="5"/>
  <c r="G57" i="5"/>
  <c r="F57" i="5"/>
  <c r="E57" i="5"/>
  <c r="D57" i="5"/>
  <c r="C57" i="5"/>
  <c r="BE56" i="5"/>
  <c r="R56" i="5"/>
  <c r="I56" i="5"/>
  <c r="H56" i="5"/>
  <c r="G56" i="5"/>
  <c r="F56" i="5"/>
  <c r="E56" i="5"/>
  <c r="D56" i="5"/>
  <c r="C56" i="5"/>
  <c r="BE55" i="5"/>
  <c r="R55" i="5"/>
  <c r="I55" i="5"/>
  <c r="H55" i="5"/>
  <c r="G55" i="5"/>
  <c r="F55" i="5"/>
  <c r="E55" i="5"/>
  <c r="D55" i="5"/>
  <c r="C55" i="5"/>
  <c r="BE54" i="5"/>
  <c r="R54" i="5"/>
  <c r="I54" i="5"/>
  <c r="H54" i="5"/>
  <c r="G54" i="5"/>
  <c r="F54" i="5"/>
  <c r="E54" i="5"/>
  <c r="D54" i="5"/>
  <c r="C54" i="5"/>
  <c r="BE53" i="5"/>
  <c r="R53" i="5"/>
  <c r="I53" i="5"/>
  <c r="H53" i="5"/>
  <c r="G53" i="5"/>
  <c r="F53" i="5"/>
  <c r="E53" i="5"/>
  <c r="D53" i="5"/>
  <c r="C53" i="5"/>
  <c r="BE52" i="5"/>
  <c r="R52" i="5"/>
  <c r="I52" i="5"/>
  <c r="H52" i="5"/>
  <c r="G52" i="5"/>
  <c r="F52" i="5"/>
  <c r="E52" i="5"/>
  <c r="D52" i="5"/>
  <c r="C52" i="5"/>
  <c r="BE51" i="5"/>
  <c r="R51" i="5"/>
  <c r="I51" i="5"/>
  <c r="H51" i="5"/>
  <c r="G51" i="5"/>
  <c r="F51" i="5"/>
  <c r="E51" i="5"/>
  <c r="D51" i="5"/>
  <c r="C51" i="5"/>
  <c r="BE50" i="5"/>
  <c r="R50" i="5"/>
  <c r="I50" i="5"/>
  <c r="H50" i="5"/>
  <c r="G50" i="5"/>
  <c r="F50" i="5"/>
  <c r="E50" i="5"/>
  <c r="D50" i="5"/>
  <c r="C50" i="5"/>
  <c r="BE49" i="5"/>
  <c r="R49" i="5"/>
  <c r="I49" i="5"/>
  <c r="H49" i="5"/>
  <c r="G49" i="5"/>
  <c r="F49" i="5"/>
  <c r="E49" i="5"/>
  <c r="D49" i="5"/>
  <c r="C49" i="5"/>
  <c r="BE48" i="5"/>
  <c r="R48" i="5"/>
  <c r="I48" i="5"/>
  <c r="H48" i="5"/>
  <c r="G48" i="5"/>
  <c r="F48" i="5"/>
  <c r="E48" i="5"/>
  <c r="D48" i="5"/>
  <c r="C48" i="5"/>
  <c r="BE47" i="5"/>
  <c r="R47" i="5"/>
  <c r="I47" i="5"/>
  <c r="H47" i="5"/>
  <c r="G47" i="5"/>
  <c r="F47" i="5"/>
  <c r="E47" i="5"/>
  <c r="D47" i="5"/>
  <c r="C47" i="5"/>
  <c r="R46" i="5"/>
  <c r="I46" i="5"/>
  <c r="H46" i="5"/>
  <c r="G46" i="5"/>
  <c r="F46" i="5"/>
  <c r="E46" i="5"/>
  <c r="D46" i="5"/>
  <c r="C46" i="5"/>
  <c r="BE45" i="5"/>
  <c r="R45" i="5"/>
  <c r="I45" i="5"/>
  <c r="H45" i="5"/>
  <c r="G45" i="5"/>
  <c r="F45" i="5"/>
  <c r="E45" i="5"/>
  <c r="D45" i="5"/>
  <c r="C45" i="5"/>
  <c r="BE44" i="5"/>
  <c r="R44" i="5"/>
  <c r="I44" i="5"/>
  <c r="H44" i="5"/>
  <c r="G44" i="5"/>
  <c r="F44" i="5"/>
  <c r="E44" i="5"/>
  <c r="D44" i="5"/>
  <c r="C44" i="5"/>
  <c r="BE43" i="5"/>
  <c r="R43" i="5"/>
  <c r="I43" i="5"/>
  <c r="H43" i="5"/>
  <c r="G43" i="5"/>
  <c r="F43" i="5"/>
  <c r="E43" i="5"/>
  <c r="D43" i="5"/>
  <c r="C43" i="5"/>
  <c r="BE42" i="5"/>
  <c r="R42" i="5"/>
  <c r="I42" i="5"/>
  <c r="H42" i="5"/>
  <c r="G42" i="5"/>
  <c r="F42" i="5"/>
  <c r="E42" i="5"/>
  <c r="D42" i="5"/>
  <c r="C42" i="5"/>
  <c r="BE41" i="5"/>
  <c r="R41" i="5"/>
  <c r="I41" i="5"/>
  <c r="H41" i="5"/>
  <c r="G41" i="5"/>
  <c r="F41" i="5"/>
  <c r="E41" i="5"/>
  <c r="D41" i="5"/>
  <c r="C41" i="5"/>
  <c r="BE40" i="5"/>
  <c r="R40" i="5"/>
  <c r="I40" i="5"/>
  <c r="H40" i="5"/>
  <c r="G40" i="5"/>
  <c r="F40" i="5"/>
  <c r="E40" i="5"/>
  <c r="D40" i="5"/>
  <c r="C40" i="5"/>
  <c r="BE39" i="5"/>
  <c r="R39" i="5"/>
  <c r="I39" i="5"/>
  <c r="H39" i="5"/>
  <c r="G39" i="5"/>
  <c r="F39" i="5"/>
  <c r="E39" i="5"/>
  <c r="D39" i="5"/>
  <c r="C39" i="5"/>
  <c r="BE38" i="5"/>
  <c r="R38" i="5"/>
  <c r="I38" i="5"/>
  <c r="H38" i="5"/>
  <c r="G38" i="5"/>
  <c r="F38" i="5"/>
  <c r="E38" i="5"/>
  <c r="D38" i="5"/>
  <c r="C38" i="5"/>
  <c r="BE37" i="5"/>
  <c r="R37" i="5"/>
  <c r="I37" i="5"/>
  <c r="H37" i="5"/>
  <c r="G37" i="5"/>
  <c r="F37" i="5"/>
  <c r="E37" i="5"/>
  <c r="D37" i="5"/>
  <c r="C37" i="5"/>
  <c r="BE36" i="5"/>
  <c r="R36" i="5"/>
  <c r="I36" i="5"/>
  <c r="H36" i="5"/>
  <c r="G36" i="5"/>
  <c r="F36" i="5"/>
  <c r="E36" i="5"/>
  <c r="D36" i="5"/>
  <c r="C36" i="5"/>
  <c r="BE35" i="5"/>
  <c r="R35" i="5"/>
  <c r="I35" i="5"/>
  <c r="H35" i="5"/>
  <c r="G35" i="5"/>
  <c r="F35" i="5"/>
  <c r="E35" i="5"/>
  <c r="D35" i="5"/>
  <c r="C35" i="5"/>
  <c r="BE34" i="5"/>
  <c r="R34" i="5"/>
  <c r="I34" i="5"/>
  <c r="H34" i="5"/>
  <c r="G34" i="5"/>
  <c r="F34" i="5"/>
  <c r="E34" i="5"/>
  <c r="D34" i="5"/>
  <c r="C34" i="5"/>
  <c r="BE33" i="5"/>
  <c r="R33" i="5"/>
  <c r="I33" i="5"/>
  <c r="H33" i="5"/>
  <c r="G33" i="5"/>
  <c r="F33" i="5"/>
  <c r="E33" i="5"/>
  <c r="D33" i="5"/>
  <c r="C33" i="5"/>
  <c r="BE32" i="5"/>
  <c r="R32" i="5"/>
  <c r="I32" i="5"/>
  <c r="H32" i="5"/>
  <c r="G32" i="5"/>
  <c r="F32" i="5"/>
  <c r="E32" i="5"/>
  <c r="D32" i="5"/>
  <c r="C32" i="5"/>
  <c r="BE31" i="5"/>
  <c r="R31" i="5"/>
  <c r="I31" i="5"/>
  <c r="H31" i="5"/>
  <c r="G31" i="5"/>
  <c r="F31" i="5"/>
  <c r="E31" i="5"/>
  <c r="D31" i="5"/>
  <c r="C31" i="5"/>
  <c r="BE30" i="5"/>
  <c r="R30" i="5"/>
  <c r="I30" i="5"/>
  <c r="H30" i="5"/>
  <c r="G30" i="5"/>
  <c r="F30" i="5"/>
  <c r="E30" i="5"/>
  <c r="D30" i="5"/>
  <c r="C30" i="5"/>
  <c r="BE29" i="5"/>
  <c r="R29" i="5"/>
  <c r="I29" i="5"/>
  <c r="H29" i="5"/>
  <c r="G29" i="5"/>
  <c r="F29" i="5"/>
  <c r="E29" i="5"/>
  <c r="D29" i="5"/>
  <c r="C29" i="5"/>
  <c r="BE28" i="5"/>
  <c r="R28" i="5"/>
  <c r="I28" i="5"/>
  <c r="H28" i="5"/>
  <c r="G28" i="5"/>
  <c r="F28" i="5"/>
  <c r="E28" i="5"/>
  <c r="D28" i="5"/>
  <c r="C28" i="5"/>
  <c r="BE27" i="5"/>
  <c r="R27" i="5"/>
  <c r="I27" i="5"/>
  <c r="H27" i="5"/>
  <c r="G27" i="5"/>
  <c r="F27" i="5"/>
  <c r="E27" i="5"/>
  <c r="D27" i="5"/>
  <c r="C27" i="5"/>
  <c r="BE26" i="5"/>
  <c r="R26" i="5"/>
  <c r="I26" i="5"/>
  <c r="H26" i="5"/>
  <c r="G26" i="5"/>
  <c r="F26" i="5"/>
  <c r="E26" i="5"/>
  <c r="D26" i="5"/>
  <c r="C26" i="5"/>
  <c r="BE25" i="5"/>
  <c r="R25" i="5"/>
  <c r="I25" i="5"/>
  <c r="H25" i="5"/>
  <c r="G25" i="5"/>
  <c r="F25" i="5"/>
  <c r="E25" i="5"/>
  <c r="D25" i="5"/>
  <c r="C25" i="5"/>
  <c r="BE24" i="5"/>
  <c r="R24" i="5"/>
  <c r="I24" i="5"/>
  <c r="H24" i="5"/>
  <c r="G24" i="5"/>
  <c r="F24" i="5"/>
  <c r="E24" i="5"/>
  <c r="D24" i="5"/>
  <c r="C24" i="5"/>
  <c r="BE23" i="5"/>
  <c r="R23" i="5"/>
  <c r="I23" i="5"/>
  <c r="H23" i="5"/>
  <c r="G23" i="5"/>
  <c r="F23" i="5"/>
  <c r="E23" i="5"/>
  <c r="D23" i="5"/>
  <c r="C23" i="5"/>
  <c r="BE22" i="5"/>
  <c r="R22" i="5"/>
  <c r="I22" i="5"/>
  <c r="H22" i="5"/>
  <c r="G22" i="5"/>
  <c r="F22" i="5"/>
  <c r="E22" i="5"/>
  <c r="D22" i="5"/>
  <c r="C22" i="5"/>
  <c r="BE21" i="5"/>
  <c r="R21" i="5"/>
  <c r="I21" i="5"/>
  <c r="H21" i="5"/>
  <c r="G21" i="5"/>
  <c r="F21" i="5"/>
  <c r="E21" i="5"/>
  <c r="D21" i="5"/>
  <c r="C21" i="5"/>
  <c r="BE20" i="5"/>
  <c r="R20" i="5"/>
  <c r="I20" i="5"/>
  <c r="H20" i="5"/>
  <c r="G20" i="5"/>
  <c r="F20" i="5"/>
  <c r="E20" i="5"/>
  <c r="D20" i="5"/>
  <c r="C20" i="5"/>
  <c r="BE19" i="5"/>
  <c r="R19" i="5"/>
  <c r="I19" i="5"/>
  <c r="H19" i="5"/>
  <c r="G19" i="5"/>
  <c r="F19" i="5"/>
  <c r="E19" i="5"/>
  <c r="D19" i="5"/>
  <c r="C19" i="5"/>
  <c r="BE18" i="5"/>
  <c r="R18" i="5"/>
  <c r="I18" i="5"/>
  <c r="H18" i="5"/>
  <c r="G18" i="5"/>
  <c r="F18" i="5"/>
  <c r="E18" i="5"/>
  <c r="D18" i="5"/>
  <c r="C18" i="5"/>
  <c r="BE17" i="5"/>
  <c r="R17" i="5"/>
  <c r="I17" i="5"/>
  <c r="H17" i="5"/>
  <c r="G17" i="5"/>
  <c r="F17" i="5"/>
  <c r="E17" i="5"/>
  <c r="D17" i="5"/>
  <c r="C17" i="5"/>
  <c r="BE16" i="5"/>
  <c r="R16" i="5"/>
  <c r="I16" i="5"/>
  <c r="H16" i="5"/>
  <c r="G16" i="5"/>
  <c r="F16" i="5"/>
  <c r="E16" i="5"/>
  <c r="D16" i="5"/>
  <c r="C16" i="5"/>
  <c r="BE15" i="5"/>
  <c r="R15" i="5"/>
  <c r="I15" i="5"/>
  <c r="H15" i="5"/>
  <c r="G15" i="5"/>
  <c r="F15" i="5"/>
  <c r="E15" i="5"/>
  <c r="D15" i="5"/>
  <c r="C15" i="5"/>
  <c r="BE14" i="5"/>
  <c r="R14" i="5"/>
  <c r="I14" i="5"/>
  <c r="H14" i="5"/>
  <c r="G14" i="5"/>
  <c r="F14" i="5"/>
  <c r="E14" i="5"/>
  <c r="D14" i="5"/>
  <c r="C14" i="5"/>
  <c r="BE13" i="5"/>
  <c r="R13" i="5"/>
  <c r="I13" i="5"/>
  <c r="H13" i="5"/>
  <c r="G13" i="5"/>
  <c r="F13" i="5"/>
  <c r="E13" i="5"/>
  <c r="D13" i="5"/>
  <c r="C13" i="5"/>
  <c r="BE12" i="5"/>
  <c r="R12" i="5"/>
  <c r="I12" i="5"/>
  <c r="H12" i="5"/>
  <c r="G12" i="5"/>
  <c r="F12" i="5"/>
  <c r="E12" i="5"/>
  <c r="D12" i="5"/>
  <c r="C12" i="5"/>
  <c r="BE11" i="5"/>
  <c r="R11" i="5"/>
  <c r="I11" i="5"/>
  <c r="H11" i="5"/>
  <c r="G11" i="5"/>
  <c r="F11" i="5"/>
  <c r="E11" i="5"/>
  <c r="D11" i="5"/>
  <c r="C11" i="5"/>
  <c r="BE10" i="5"/>
  <c r="R10" i="5"/>
  <c r="I10" i="5"/>
  <c r="H10" i="5"/>
  <c r="G10" i="5"/>
  <c r="F10" i="5"/>
  <c r="E10" i="5"/>
  <c r="D10" i="5"/>
  <c r="C10" i="5"/>
  <c r="BE9" i="5"/>
  <c r="R9" i="5"/>
  <c r="I9" i="5"/>
  <c r="H9" i="5"/>
  <c r="G9" i="5"/>
  <c r="F9" i="5"/>
  <c r="E9" i="5"/>
  <c r="D9" i="5"/>
  <c r="C9" i="5"/>
  <c r="BE8" i="5"/>
  <c r="R8" i="5"/>
  <c r="I8" i="5"/>
  <c r="H8" i="5"/>
  <c r="G8" i="5"/>
  <c r="F8" i="5"/>
  <c r="E8" i="5"/>
  <c r="D8" i="5"/>
  <c r="C8" i="5"/>
  <c r="BE7" i="5"/>
  <c r="R7" i="5"/>
  <c r="I7" i="5"/>
  <c r="H7" i="5"/>
  <c r="G7" i="5"/>
  <c r="F7" i="5"/>
  <c r="E7" i="5"/>
  <c r="D7" i="5"/>
  <c r="C7" i="5"/>
  <c r="BE6" i="5"/>
  <c r="R6" i="5"/>
  <c r="I6" i="5"/>
  <c r="H6" i="5"/>
  <c r="G6" i="5"/>
  <c r="F6" i="5"/>
  <c r="E6" i="5"/>
  <c r="D6" i="5"/>
  <c r="C6" i="5"/>
  <c r="BE5" i="5"/>
  <c r="R5" i="5"/>
  <c r="I5" i="5"/>
  <c r="H5" i="5"/>
  <c r="G5" i="5"/>
  <c r="F5" i="5"/>
  <c r="E5" i="5"/>
  <c r="D5" i="5"/>
  <c r="C5" i="5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B122" i="3"/>
  <c r="AA122" i="3"/>
  <c r="Z122" i="3"/>
  <c r="X122" i="3"/>
  <c r="V122" i="3"/>
  <c r="R122" i="3"/>
  <c r="Q122" i="3"/>
  <c r="P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R121" i="3"/>
  <c r="BE120" i="3"/>
  <c r="R120" i="3"/>
  <c r="I120" i="3"/>
  <c r="H120" i="3"/>
  <c r="G120" i="3"/>
  <c r="F120" i="3"/>
  <c r="E120" i="3"/>
  <c r="D120" i="3"/>
  <c r="C120" i="3"/>
  <c r="R119" i="3"/>
  <c r="BE118" i="3"/>
  <c r="R118" i="3"/>
  <c r="I118" i="3"/>
  <c r="H118" i="3"/>
  <c r="G118" i="3"/>
  <c r="F118" i="3"/>
  <c r="E118" i="3"/>
  <c r="D118" i="3"/>
  <c r="C118" i="3"/>
  <c r="BE117" i="3"/>
  <c r="R117" i="3"/>
  <c r="I117" i="3"/>
  <c r="H117" i="3"/>
  <c r="G117" i="3"/>
  <c r="F117" i="3"/>
  <c r="E117" i="3"/>
  <c r="D117" i="3"/>
  <c r="C117" i="3"/>
  <c r="BE116" i="3"/>
  <c r="R116" i="3"/>
  <c r="I116" i="3"/>
  <c r="H116" i="3"/>
  <c r="G116" i="3"/>
  <c r="F116" i="3"/>
  <c r="E116" i="3"/>
  <c r="D116" i="3"/>
  <c r="C116" i="3"/>
  <c r="R115" i="3"/>
  <c r="I115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E113" i="3"/>
  <c r="R113" i="3"/>
  <c r="I113" i="3"/>
  <c r="H113" i="3"/>
  <c r="G113" i="3"/>
  <c r="F113" i="3"/>
  <c r="E113" i="3"/>
  <c r="D113" i="3"/>
  <c r="C113" i="3"/>
  <c r="BE112" i="3"/>
  <c r="R112" i="3"/>
  <c r="I112" i="3"/>
  <c r="H112" i="3"/>
  <c r="G112" i="3"/>
  <c r="F112" i="3"/>
  <c r="E112" i="3"/>
  <c r="D112" i="3"/>
  <c r="C112" i="3"/>
  <c r="BE111" i="3"/>
  <c r="R111" i="3"/>
  <c r="I111" i="3"/>
  <c r="H111" i="3"/>
  <c r="G111" i="3"/>
  <c r="F111" i="3"/>
  <c r="E111" i="3"/>
  <c r="D111" i="3"/>
  <c r="C111" i="3"/>
  <c r="BE110" i="3"/>
  <c r="R110" i="3"/>
  <c r="I110" i="3"/>
  <c r="H110" i="3"/>
  <c r="G110" i="3"/>
  <c r="F110" i="3"/>
  <c r="E110" i="3"/>
  <c r="D110" i="3"/>
  <c r="C110" i="3"/>
  <c r="BE109" i="3"/>
  <c r="R109" i="3"/>
  <c r="I109" i="3"/>
  <c r="H109" i="3"/>
  <c r="G109" i="3"/>
  <c r="F109" i="3"/>
  <c r="E109" i="3"/>
  <c r="D109" i="3"/>
  <c r="C109" i="3"/>
  <c r="BE108" i="3"/>
  <c r="R108" i="3"/>
  <c r="I108" i="3"/>
  <c r="H108" i="3"/>
  <c r="G108" i="3"/>
  <c r="F108" i="3"/>
  <c r="E108" i="3"/>
  <c r="D108" i="3"/>
  <c r="C108" i="3"/>
  <c r="BE107" i="3"/>
  <c r="R107" i="3"/>
  <c r="I107" i="3"/>
  <c r="H107" i="3"/>
  <c r="G107" i="3"/>
  <c r="F107" i="3"/>
  <c r="E107" i="3"/>
  <c r="D107" i="3"/>
  <c r="C107" i="3"/>
  <c r="BE106" i="3"/>
  <c r="R106" i="3"/>
  <c r="I106" i="3"/>
  <c r="H106" i="3"/>
  <c r="G106" i="3"/>
  <c r="F106" i="3"/>
  <c r="E106" i="3"/>
  <c r="D106" i="3"/>
  <c r="C106" i="3"/>
  <c r="BE105" i="3"/>
  <c r="R105" i="3"/>
  <c r="I105" i="3"/>
  <c r="H105" i="3"/>
  <c r="G105" i="3"/>
  <c r="F105" i="3"/>
  <c r="E105" i="3"/>
  <c r="D105" i="3"/>
  <c r="C105" i="3"/>
  <c r="BE104" i="3"/>
  <c r="R104" i="3"/>
  <c r="I104" i="3"/>
  <c r="H104" i="3"/>
  <c r="G104" i="3"/>
  <c r="F104" i="3"/>
  <c r="E104" i="3"/>
  <c r="D104" i="3"/>
  <c r="C104" i="3"/>
  <c r="BE103" i="3"/>
  <c r="R103" i="3"/>
  <c r="I103" i="3"/>
  <c r="H103" i="3"/>
  <c r="G103" i="3"/>
  <c r="F103" i="3"/>
  <c r="E103" i="3"/>
  <c r="D103" i="3"/>
  <c r="C103" i="3"/>
  <c r="BE102" i="3"/>
  <c r="R102" i="3"/>
  <c r="I102" i="3"/>
  <c r="H102" i="3"/>
  <c r="G102" i="3"/>
  <c r="F102" i="3"/>
  <c r="E102" i="3"/>
  <c r="D102" i="3"/>
  <c r="C102" i="3"/>
  <c r="BE101" i="3"/>
  <c r="R101" i="3"/>
  <c r="I101" i="3"/>
  <c r="H101" i="3"/>
  <c r="G101" i="3"/>
  <c r="F101" i="3"/>
  <c r="E101" i="3"/>
  <c r="D101" i="3"/>
  <c r="C101" i="3"/>
  <c r="BE100" i="3"/>
  <c r="R100" i="3"/>
  <c r="I100" i="3"/>
  <c r="H100" i="3"/>
  <c r="G100" i="3"/>
  <c r="F100" i="3"/>
  <c r="E100" i="3"/>
  <c r="D100" i="3"/>
  <c r="C100" i="3"/>
  <c r="BE99" i="3"/>
  <c r="R99" i="3"/>
  <c r="I99" i="3"/>
  <c r="H99" i="3"/>
  <c r="G99" i="3"/>
  <c r="F99" i="3"/>
  <c r="E99" i="3"/>
  <c r="D99" i="3"/>
  <c r="C99" i="3"/>
  <c r="BE98" i="3"/>
  <c r="R98" i="3"/>
  <c r="I98" i="3"/>
  <c r="H98" i="3"/>
  <c r="G98" i="3"/>
  <c r="F98" i="3"/>
  <c r="E98" i="3"/>
  <c r="D98" i="3"/>
  <c r="C98" i="3"/>
  <c r="BE97" i="3"/>
  <c r="R97" i="3"/>
  <c r="I97" i="3"/>
  <c r="H97" i="3"/>
  <c r="G97" i="3"/>
  <c r="F97" i="3"/>
  <c r="E97" i="3"/>
  <c r="D97" i="3"/>
  <c r="C97" i="3"/>
  <c r="BE96" i="3"/>
  <c r="R96" i="3"/>
  <c r="I96" i="3"/>
  <c r="H96" i="3"/>
  <c r="G96" i="3"/>
  <c r="F96" i="3"/>
  <c r="E96" i="3"/>
  <c r="D96" i="3"/>
  <c r="C96" i="3"/>
  <c r="BE95" i="3"/>
  <c r="R95" i="3"/>
  <c r="I95" i="3"/>
  <c r="H95" i="3"/>
  <c r="G95" i="3"/>
  <c r="F95" i="3"/>
  <c r="E95" i="3"/>
  <c r="D95" i="3"/>
  <c r="C95" i="3"/>
  <c r="BE94" i="3"/>
  <c r="R94" i="3"/>
  <c r="I94" i="3"/>
  <c r="H94" i="3"/>
  <c r="G94" i="3"/>
  <c r="F94" i="3"/>
  <c r="E94" i="3"/>
  <c r="D94" i="3"/>
  <c r="C94" i="3"/>
  <c r="BE93" i="3"/>
  <c r="R93" i="3"/>
  <c r="I93" i="3"/>
  <c r="H93" i="3"/>
  <c r="G93" i="3"/>
  <c r="F93" i="3"/>
  <c r="E93" i="3"/>
  <c r="D93" i="3"/>
  <c r="C93" i="3"/>
  <c r="BE92" i="3"/>
  <c r="R92" i="3"/>
  <c r="I92" i="3"/>
  <c r="H92" i="3"/>
  <c r="G92" i="3"/>
  <c r="F92" i="3"/>
  <c r="E92" i="3"/>
  <c r="D92" i="3"/>
  <c r="C92" i="3"/>
  <c r="BE91" i="3"/>
  <c r="R91" i="3"/>
  <c r="I91" i="3"/>
  <c r="H91" i="3"/>
  <c r="G91" i="3"/>
  <c r="F91" i="3"/>
  <c r="E91" i="3"/>
  <c r="D91" i="3"/>
  <c r="C91" i="3"/>
  <c r="BE90" i="3"/>
  <c r="R90" i="3"/>
  <c r="I90" i="3"/>
  <c r="H90" i="3"/>
  <c r="G90" i="3"/>
  <c r="F90" i="3"/>
  <c r="E90" i="3"/>
  <c r="D90" i="3"/>
  <c r="C90" i="3"/>
  <c r="BE89" i="3"/>
  <c r="R89" i="3"/>
  <c r="I89" i="3"/>
  <c r="H89" i="3"/>
  <c r="G89" i="3"/>
  <c r="F89" i="3"/>
  <c r="E89" i="3"/>
  <c r="D89" i="3"/>
  <c r="C89" i="3"/>
  <c r="BE88" i="3"/>
  <c r="R88" i="3"/>
  <c r="I88" i="3"/>
  <c r="H88" i="3"/>
  <c r="G88" i="3"/>
  <c r="F88" i="3"/>
  <c r="E88" i="3"/>
  <c r="D88" i="3"/>
  <c r="C88" i="3"/>
  <c r="BE87" i="3"/>
  <c r="R87" i="3"/>
  <c r="I87" i="3"/>
  <c r="H87" i="3"/>
  <c r="G87" i="3"/>
  <c r="F87" i="3"/>
  <c r="E87" i="3"/>
  <c r="D87" i="3"/>
  <c r="C87" i="3"/>
  <c r="BE86" i="3"/>
  <c r="R86" i="3"/>
  <c r="I86" i="3"/>
  <c r="H86" i="3"/>
  <c r="G86" i="3"/>
  <c r="F86" i="3"/>
  <c r="E86" i="3"/>
  <c r="D86" i="3"/>
  <c r="C86" i="3"/>
  <c r="BE85" i="3"/>
  <c r="R85" i="3"/>
  <c r="I85" i="3"/>
  <c r="H85" i="3"/>
  <c r="G85" i="3"/>
  <c r="F85" i="3"/>
  <c r="E85" i="3"/>
  <c r="D85" i="3"/>
  <c r="C85" i="3"/>
  <c r="BE84" i="3"/>
  <c r="R84" i="3"/>
  <c r="I84" i="3"/>
  <c r="H84" i="3"/>
  <c r="G84" i="3"/>
  <c r="F84" i="3"/>
  <c r="E84" i="3"/>
  <c r="D84" i="3"/>
  <c r="C84" i="3"/>
  <c r="BE83" i="3"/>
  <c r="R83" i="3"/>
  <c r="I83" i="3"/>
  <c r="H83" i="3"/>
  <c r="G83" i="3"/>
  <c r="F83" i="3"/>
  <c r="E83" i="3"/>
  <c r="D83" i="3"/>
  <c r="C83" i="3"/>
  <c r="BE82" i="3"/>
  <c r="R82" i="3"/>
  <c r="I82" i="3"/>
  <c r="H82" i="3"/>
  <c r="G82" i="3"/>
  <c r="F82" i="3"/>
  <c r="E82" i="3"/>
  <c r="D82" i="3"/>
  <c r="C82" i="3"/>
  <c r="BE81" i="3"/>
  <c r="R81" i="3"/>
  <c r="I81" i="3"/>
  <c r="H81" i="3"/>
  <c r="G81" i="3"/>
  <c r="F81" i="3"/>
  <c r="E81" i="3"/>
  <c r="D81" i="3"/>
  <c r="C81" i="3"/>
  <c r="BE80" i="3"/>
  <c r="R80" i="3"/>
  <c r="I80" i="3"/>
  <c r="H80" i="3"/>
  <c r="G80" i="3"/>
  <c r="F80" i="3"/>
  <c r="E80" i="3"/>
  <c r="D80" i="3"/>
  <c r="C80" i="3"/>
  <c r="BE79" i="3"/>
  <c r="R79" i="3"/>
  <c r="I79" i="3"/>
  <c r="H79" i="3"/>
  <c r="G79" i="3"/>
  <c r="F79" i="3"/>
  <c r="E79" i="3"/>
  <c r="D79" i="3"/>
  <c r="C79" i="3"/>
  <c r="BE78" i="3"/>
  <c r="R78" i="3"/>
  <c r="I78" i="3"/>
  <c r="H78" i="3"/>
  <c r="G78" i="3"/>
  <c r="F78" i="3"/>
  <c r="E78" i="3"/>
  <c r="D78" i="3"/>
  <c r="C78" i="3"/>
  <c r="BE77" i="3"/>
  <c r="R77" i="3"/>
  <c r="I77" i="3"/>
  <c r="H77" i="3"/>
  <c r="G77" i="3"/>
  <c r="F77" i="3"/>
  <c r="E77" i="3"/>
  <c r="D77" i="3"/>
  <c r="C77" i="3"/>
  <c r="BE76" i="3"/>
  <c r="R76" i="3"/>
  <c r="I76" i="3"/>
  <c r="H76" i="3"/>
  <c r="G76" i="3"/>
  <c r="F76" i="3"/>
  <c r="E76" i="3"/>
  <c r="D76" i="3"/>
  <c r="C76" i="3"/>
  <c r="BE75" i="3"/>
  <c r="R75" i="3"/>
  <c r="I75" i="3"/>
  <c r="H75" i="3"/>
  <c r="G75" i="3"/>
  <c r="F75" i="3"/>
  <c r="E75" i="3"/>
  <c r="D75" i="3"/>
  <c r="C75" i="3"/>
  <c r="BE74" i="3"/>
  <c r="R74" i="3"/>
  <c r="I74" i="3"/>
  <c r="H74" i="3"/>
  <c r="G74" i="3"/>
  <c r="F74" i="3"/>
  <c r="E74" i="3"/>
  <c r="D74" i="3"/>
  <c r="C74" i="3"/>
  <c r="BE73" i="3"/>
  <c r="R73" i="3"/>
  <c r="I73" i="3"/>
  <c r="H73" i="3"/>
  <c r="G73" i="3"/>
  <c r="F73" i="3"/>
  <c r="E73" i="3"/>
  <c r="D73" i="3"/>
  <c r="C73" i="3"/>
  <c r="BE72" i="3"/>
  <c r="R72" i="3"/>
  <c r="I72" i="3"/>
  <c r="H72" i="3"/>
  <c r="G72" i="3"/>
  <c r="F72" i="3"/>
  <c r="E72" i="3"/>
  <c r="D72" i="3"/>
  <c r="C72" i="3"/>
  <c r="BE71" i="3"/>
  <c r="R71" i="3"/>
  <c r="I71" i="3"/>
  <c r="H71" i="3"/>
  <c r="G71" i="3"/>
  <c r="F71" i="3"/>
  <c r="E71" i="3"/>
  <c r="D71" i="3"/>
  <c r="C71" i="3"/>
  <c r="BE70" i="3"/>
  <c r="R70" i="3"/>
  <c r="I70" i="3"/>
  <c r="H70" i="3"/>
  <c r="G70" i="3"/>
  <c r="F70" i="3"/>
  <c r="E70" i="3"/>
  <c r="D70" i="3"/>
  <c r="C70" i="3"/>
  <c r="BE69" i="3"/>
  <c r="R69" i="3"/>
  <c r="I69" i="3"/>
  <c r="H69" i="3"/>
  <c r="G69" i="3"/>
  <c r="F69" i="3"/>
  <c r="E69" i="3"/>
  <c r="D69" i="3"/>
  <c r="C69" i="3"/>
  <c r="BE68" i="3"/>
  <c r="R68" i="3"/>
  <c r="I68" i="3"/>
  <c r="H68" i="3"/>
  <c r="G68" i="3"/>
  <c r="F68" i="3"/>
  <c r="E68" i="3"/>
  <c r="D68" i="3"/>
  <c r="C68" i="3"/>
  <c r="BE67" i="3"/>
  <c r="R67" i="3"/>
  <c r="I67" i="3"/>
  <c r="H67" i="3"/>
  <c r="G67" i="3"/>
  <c r="F67" i="3"/>
  <c r="E67" i="3"/>
  <c r="D67" i="3"/>
  <c r="C67" i="3"/>
  <c r="BE66" i="3"/>
  <c r="R66" i="3"/>
  <c r="I66" i="3"/>
  <c r="H66" i="3"/>
  <c r="G66" i="3"/>
  <c r="F66" i="3"/>
  <c r="E66" i="3"/>
  <c r="D66" i="3"/>
  <c r="C66" i="3"/>
  <c r="BE65" i="3"/>
  <c r="R65" i="3"/>
  <c r="I65" i="3"/>
  <c r="H65" i="3"/>
  <c r="G65" i="3"/>
  <c r="F65" i="3"/>
  <c r="E65" i="3"/>
  <c r="D65" i="3"/>
  <c r="C65" i="3"/>
  <c r="BE64" i="3"/>
  <c r="R64" i="3"/>
  <c r="I64" i="3"/>
  <c r="H64" i="3"/>
  <c r="G64" i="3"/>
  <c r="F64" i="3"/>
  <c r="E64" i="3"/>
  <c r="D64" i="3"/>
  <c r="C64" i="3"/>
  <c r="BE63" i="3"/>
  <c r="R63" i="3"/>
  <c r="I63" i="3"/>
  <c r="H63" i="3"/>
  <c r="G63" i="3"/>
  <c r="F63" i="3"/>
  <c r="E63" i="3"/>
  <c r="D63" i="3"/>
  <c r="C63" i="3"/>
  <c r="BE62" i="3"/>
  <c r="R62" i="3"/>
  <c r="I62" i="3"/>
  <c r="H62" i="3"/>
  <c r="G62" i="3"/>
  <c r="F62" i="3"/>
  <c r="E62" i="3"/>
  <c r="D62" i="3"/>
  <c r="C62" i="3"/>
  <c r="BE61" i="3"/>
  <c r="R61" i="3"/>
  <c r="I61" i="3"/>
  <c r="H61" i="3"/>
  <c r="G61" i="3"/>
  <c r="F61" i="3"/>
  <c r="E61" i="3"/>
  <c r="D61" i="3"/>
  <c r="C61" i="3"/>
  <c r="BE60" i="3"/>
  <c r="R60" i="3"/>
  <c r="I60" i="3"/>
  <c r="H60" i="3"/>
  <c r="G60" i="3"/>
  <c r="F60" i="3"/>
  <c r="E60" i="3"/>
  <c r="D60" i="3"/>
  <c r="C60" i="3"/>
  <c r="BE59" i="3"/>
  <c r="R59" i="3"/>
  <c r="I59" i="3"/>
  <c r="H59" i="3"/>
  <c r="G59" i="3"/>
  <c r="F59" i="3"/>
  <c r="E59" i="3"/>
  <c r="D59" i="3"/>
  <c r="C59" i="3"/>
  <c r="BE58" i="3"/>
  <c r="R58" i="3"/>
  <c r="I58" i="3"/>
  <c r="H58" i="3"/>
  <c r="G58" i="3"/>
  <c r="F58" i="3"/>
  <c r="E58" i="3"/>
  <c r="D58" i="3"/>
  <c r="C58" i="3"/>
  <c r="BE57" i="3"/>
  <c r="R57" i="3"/>
  <c r="I57" i="3"/>
  <c r="H57" i="3"/>
  <c r="G57" i="3"/>
  <c r="F57" i="3"/>
  <c r="E57" i="3"/>
  <c r="D57" i="3"/>
  <c r="C57" i="3"/>
  <c r="BE56" i="3"/>
  <c r="R56" i="3"/>
  <c r="I56" i="3"/>
  <c r="H56" i="3"/>
  <c r="G56" i="3"/>
  <c r="F56" i="3"/>
  <c r="E56" i="3"/>
  <c r="D56" i="3"/>
  <c r="C56" i="3"/>
  <c r="BE55" i="3"/>
  <c r="R55" i="3"/>
  <c r="I55" i="3"/>
  <c r="H55" i="3"/>
  <c r="G55" i="3"/>
  <c r="F55" i="3"/>
  <c r="E55" i="3"/>
  <c r="D55" i="3"/>
  <c r="C55" i="3"/>
  <c r="BE54" i="3"/>
  <c r="R54" i="3"/>
  <c r="I54" i="3"/>
  <c r="H54" i="3"/>
  <c r="G54" i="3"/>
  <c r="F54" i="3"/>
  <c r="E54" i="3"/>
  <c r="D54" i="3"/>
  <c r="C54" i="3"/>
  <c r="BE53" i="3"/>
  <c r="R53" i="3"/>
  <c r="I53" i="3"/>
  <c r="H53" i="3"/>
  <c r="G53" i="3"/>
  <c r="F53" i="3"/>
  <c r="E53" i="3"/>
  <c r="D53" i="3"/>
  <c r="C53" i="3"/>
  <c r="BE52" i="3"/>
  <c r="R52" i="3"/>
  <c r="I52" i="3"/>
  <c r="H52" i="3"/>
  <c r="G52" i="3"/>
  <c r="F52" i="3"/>
  <c r="E52" i="3"/>
  <c r="D52" i="3"/>
  <c r="C52" i="3"/>
  <c r="BE51" i="3"/>
  <c r="R51" i="3"/>
  <c r="I51" i="3"/>
  <c r="H51" i="3"/>
  <c r="G51" i="3"/>
  <c r="F51" i="3"/>
  <c r="E51" i="3"/>
  <c r="D51" i="3"/>
  <c r="C51" i="3"/>
  <c r="BE50" i="3"/>
  <c r="R50" i="3"/>
  <c r="I50" i="3"/>
  <c r="H50" i="3"/>
  <c r="G50" i="3"/>
  <c r="F50" i="3"/>
  <c r="E50" i="3"/>
  <c r="D50" i="3"/>
  <c r="C50" i="3"/>
  <c r="BE49" i="3"/>
  <c r="R49" i="3"/>
  <c r="I49" i="3"/>
  <c r="H49" i="3"/>
  <c r="G49" i="3"/>
  <c r="F49" i="3"/>
  <c r="E49" i="3"/>
  <c r="D49" i="3"/>
  <c r="C49" i="3"/>
  <c r="BE48" i="3"/>
  <c r="R48" i="3"/>
  <c r="I48" i="3"/>
  <c r="H48" i="3"/>
  <c r="G48" i="3"/>
  <c r="F48" i="3"/>
  <c r="E48" i="3"/>
  <c r="D48" i="3"/>
  <c r="C48" i="3"/>
  <c r="BE47" i="3"/>
  <c r="R47" i="3"/>
  <c r="I47" i="3"/>
  <c r="H47" i="3"/>
  <c r="G47" i="3"/>
  <c r="F47" i="3"/>
  <c r="E47" i="3"/>
  <c r="D47" i="3"/>
  <c r="C47" i="3"/>
  <c r="R46" i="3"/>
  <c r="I46" i="3"/>
  <c r="H46" i="3"/>
  <c r="G46" i="3"/>
  <c r="F46" i="3"/>
  <c r="E46" i="3"/>
  <c r="D46" i="3"/>
  <c r="C46" i="3"/>
  <c r="BE45" i="3"/>
  <c r="R45" i="3"/>
  <c r="I45" i="3"/>
  <c r="H45" i="3"/>
  <c r="G45" i="3"/>
  <c r="F45" i="3"/>
  <c r="E45" i="3"/>
  <c r="D45" i="3"/>
  <c r="C45" i="3"/>
  <c r="BE44" i="3"/>
  <c r="R44" i="3"/>
  <c r="I44" i="3"/>
  <c r="H44" i="3"/>
  <c r="G44" i="3"/>
  <c r="F44" i="3"/>
  <c r="E44" i="3"/>
  <c r="D44" i="3"/>
  <c r="C44" i="3"/>
  <c r="BE43" i="3"/>
  <c r="R43" i="3"/>
  <c r="I43" i="3"/>
  <c r="H43" i="3"/>
  <c r="G43" i="3"/>
  <c r="F43" i="3"/>
  <c r="E43" i="3"/>
  <c r="D43" i="3"/>
  <c r="C43" i="3"/>
  <c r="BE42" i="3"/>
  <c r="R42" i="3"/>
  <c r="I42" i="3"/>
  <c r="H42" i="3"/>
  <c r="G42" i="3"/>
  <c r="F42" i="3"/>
  <c r="E42" i="3"/>
  <c r="D42" i="3"/>
  <c r="C42" i="3"/>
  <c r="BE41" i="3"/>
  <c r="R41" i="3"/>
  <c r="I41" i="3"/>
  <c r="H41" i="3"/>
  <c r="G41" i="3"/>
  <c r="F41" i="3"/>
  <c r="E41" i="3"/>
  <c r="D41" i="3"/>
  <c r="C41" i="3"/>
  <c r="BE40" i="3"/>
  <c r="R40" i="3"/>
  <c r="I40" i="3"/>
  <c r="H40" i="3"/>
  <c r="G40" i="3"/>
  <c r="F40" i="3"/>
  <c r="E40" i="3"/>
  <c r="D40" i="3"/>
  <c r="C40" i="3"/>
  <c r="BE39" i="3"/>
  <c r="R39" i="3"/>
  <c r="I39" i="3"/>
  <c r="H39" i="3"/>
  <c r="G39" i="3"/>
  <c r="F39" i="3"/>
  <c r="E39" i="3"/>
  <c r="D39" i="3"/>
  <c r="C39" i="3"/>
  <c r="BE38" i="3"/>
  <c r="R38" i="3"/>
  <c r="I38" i="3"/>
  <c r="H38" i="3"/>
  <c r="G38" i="3"/>
  <c r="F38" i="3"/>
  <c r="E38" i="3"/>
  <c r="D38" i="3"/>
  <c r="C38" i="3"/>
  <c r="BE37" i="3"/>
  <c r="R37" i="3"/>
  <c r="I37" i="3"/>
  <c r="H37" i="3"/>
  <c r="G37" i="3"/>
  <c r="F37" i="3"/>
  <c r="E37" i="3"/>
  <c r="D37" i="3"/>
  <c r="C37" i="3"/>
  <c r="BE36" i="3"/>
  <c r="R36" i="3"/>
  <c r="I36" i="3"/>
  <c r="H36" i="3"/>
  <c r="G36" i="3"/>
  <c r="F36" i="3"/>
  <c r="E36" i="3"/>
  <c r="D36" i="3"/>
  <c r="C36" i="3"/>
  <c r="BE35" i="3"/>
  <c r="R35" i="3"/>
  <c r="I35" i="3"/>
  <c r="H35" i="3"/>
  <c r="G35" i="3"/>
  <c r="F35" i="3"/>
  <c r="E35" i="3"/>
  <c r="D35" i="3"/>
  <c r="C35" i="3"/>
  <c r="BE34" i="3"/>
  <c r="R34" i="3"/>
  <c r="I34" i="3"/>
  <c r="H34" i="3"/>
  <c r="G34" i="3"/>
  <c r="F34" i="3"/>
  <c r="E34" i="3"/>
  <c r="D34" i="3"/>
  <c r="C34" i="3"/>
  <c r="BE33" i="3"/>
  <c r="R33" i="3"/>
  <c r="I33" i="3"/>
  <c r="H33" i="3"/>
  <c r="G33" i="3"/>
  <c r="F33" i="3"/>
  <c r="E33" i="3"/>
  <c r="D33" i="3"/>
  <c r="C33" i="3"/>
  <c r="BE32" i="3"/>
  <c r="R32" i="3"/>
  <c r="I32" i="3"/>
  <c r="H32" i="3"/>
  <c r="G32" i="3"/>
  <c r="F32" i="3"/>
  <c r="E32" i="3"/>
  <c r="D32" i="3"/>
  <c r="C32" i="3"/>
  <c r="BE31" i="3"/>
  <c r="R31" i="3"/>
  <c r="I31" i="3"/>
  <c r="H31" i="3"/>
  <c r="G31" i="3"/>
  <c r="F31" i="3"/>
  <c r="E31" i="3"/>
  <c r="D31" i="3"/>
  <c r="C31" i="3"/>
  <c r="BE30" i="3"/>
  <c r="R30" i="3"/>
  <c r="I30" i="3"/>
  <c r="H30" i="3"/>
  <c r="G30" i="3"/>
  <c r="F30" i="3"/>
  <c r="E30" i="3"/>
  <c r="D30" i="3"/>
  <c r="C30" i="3"/>
  <c r="BE29" i="3"/>
  <c r="R29" i="3"/>
  <c r="I29" i="3"/>
  <c r="H29" i="3"/>
  <c r="G29" i="3"/>
  <c r="F29" i="3"/>
  <c r="E29" i="3"/>
  <c r="D29" i="3"/>
  <c r="C29" i="3"/>
  <c r="BE28" i="3"/>
  <c r="R28" i="3"/>
  <c r="I28" i="3"/>
  <c r="H28" i="3"/>
  <c r="G28" i="3"/>
  <c r="F28" i="3"/>
  <c r="E28" i="3"/>
  <c r="D28" i="3"/>
  <c r="C28" i="3"/>
  <c r="BE27" i="3"/>
  <c r="R27" i="3"/>
  <c r="I27" i="3"/>
  <c r="H27" i="3"/>
  <c r="G27" i="3"/>
  <c r="F27" i="3"/>
  <c r="E27" i="3"/>
  <c r="D27" i="3"/>
  <c r="C27" i="3"/>
  <c r="BE26" i="3"/>
  <c r="R26" i="3"/>
  <c r="I26" i="3"/>
  <c r="H26" i="3"/>
  <c r="G26" i="3"/>
  <c r="F26" i="3"/>
  <c r="E26" i="3"/>
  <c r="D26" i="3"/>
  <c r="C26" i="3"/>
  <c r="BE25" i="3"/>
  <c r="R25" i="3"/>
  <c r="I25" i="3"/>
  <c r="H25" i="3"/>
  <c r="G25" i="3"/>
  <c r="F25" i="3"/>
  <c r="E25" i="3"/>
  <c r="D25" i="3"/>
  <c r="C25" i="3"/>
  <c r="BE24" i="3"/>
  <c r="R24" i="3"/>
  <c r="I24" i="3"/>
  <c r="H24" i="3"/>
  <c r="G24" i="3"/>
  <c r="F24" i="3"/>
  <c r="E24" i="3"/>
  <c r="D24" i="3"/>
  <c r="C24" i="3"/>
  <c r="BE23" i="3"/>
  <c r="R23" i="3"/>
  <c r="I23" i="3"/>
  <c r="H23" i="3"/>
  <c r="G23" i="3"/>
  <c r="F23" i="3"/>
  <c r="E23" i="3"/>
  <c r="D23" i="3"/>
  <c r="C23" i="3"/>
  <c r="BE22" i="3"/>
  <c r="R22" i="3"/>
  <c r="I22" i="3"/>
  <c r="H22" i="3"/>
  <c r="G22" i="3"/>
  <c r="F22" i="3"/>
  <c r="E22" i="3"/>
  <c r="D22" i="3"/>
  <c r="C22" i="3"/>
  <c r="BE21" i="3"/>
  <c r="R21" i="3"/>
  <c r="I21" i="3"/>
  <c r="H21" i="3"/>
  <c r="G21" i="3"/>
  <c r="F21" i="3"/>
  <c r="E21" i="3"/>
  <c r="D21" i="3"/>
  <c r="C21" i="3"/>
  <c r="BE20" i="3"/>
  <c r="R20" i="3"/>
  <c r="I20" i="3"/>
  <c r="H20" i="3"/>
  <c r="G20" i="3"/>
  <c r="F20" i="3"/>
  <c r="E20" i="3"/>
  <c r="D20" i="3"/>
  <c r="C20" i="3"/>
  <c r="BE19" i="3"/>
  <c r="R19" i="3"/>
  <c r="I19" i="3"/>
  <c r="H19" i="3"/>
  <c r="G19" i="3"/>
  <c r="F19" i="3"/>
  <c r="E19" i="3"/>
  <c r="D19" i="3"/>
  <c r="C19" i="3"/>
  <c r="BE18" i="3"/>
  <c r="R18" i="3"/>
  <c r="I18" i="3"/>
  <c r="H18" i="3"/>
  <c r="G18" i="3"/>
  <c r="F18" i="3"/>
  <c r="E18" i="3"/>
  <c r="D18" i="3"/>
  <c r="C18" i="3"/>
  <c r="BE17" i="3"/>
  <c r="R17" i="3"/>
  <c r="I17" i="3"/>
  <c r="H17" i="3"/>
  <c r="G17" i="3"/>
  <c r="F17" i="3"/>
  <c r="E17" i="3"/>
  <c r="D17" i="3"/>
  <c r="C17" i="3"/>
  <c r="BE16" i="3"/>
  <c r="R16" i="3"/>
  <c r="I16" i="3"/>
  <c r="H16" i="3"/>
  <c r="G16" i="3"/>
  <c r="F16" i="3"/>
  <c r="E16" i="3"/>
  <c r="D16" i="3"/>
  <c r="C16" i="3"/>
  <c r="BE15" i="3"/>
  <c r="R15" i="3"/>
  <c r="I15" i="3"/>
  <c r="H15" i="3"/>
  <c r="G15" i="3"/>
  <c r="F15" i="3"/>
  <c r="E15" i="3"/>
  <c r="D15" i="3"/>
  <c r="C15" i="3"/>
  <c r="BE14" i="3"/>
  <c r="R14" i="3"/>
  <c r="I14" i="3"/>
  <c r="H14" i="3"/>
  <c r="G14" i="3"/>
  <c r="F14" i="3"/>
  <c r="E14" i="3"/>
  <c r="D14" i="3"/>
  <c r="C14" i="3"/>
  <c r="BE13" i="3"/>
  <c r="R13" i="3"/>
  <c r="I13" i="3"/>
  <c r="H13" i="3"/>
  <c r="G13" i="3"/>
  <c r="F13" i="3"/>
  <c r="E13" i="3"/>
  <c r="D13" i="3"/>
  <c r="C13" i="3"/>
  <c r="BE12" i="3"/>
  <c r="R12" i="3"/>
  <c r="I12" i="3"/>
  <c r="H12" i="3"/>
  <c r="G12" i="3"/>
  <c r="F12" i="3"/>
  <c r="E12" i="3"/>
  <c r="D12" i="3"/>
  <c r="C12" i="3"/>
  <c r="BE11" i="3"/>
  <c r="R11" i="3"/>
  <c r="I11" i="3"/>
  <c r="H11" i="3"/>
  <c r="G11" i="3"/>
  <c r="F11" i="3"/>
  <c r="E11" i="3"/>
  <c r="D11" i="3"/>
  <c r="C11" i="3"/>
  <c r="BE10" i="3"/>
  <c r="R10" i="3"/>
  <c r="I10" i="3"/>
  <c r="H10" i="3"/>
  <c r="G10" i="3"/>
  <c r="F10" i="3"/>
  <c r="E10" i="3"/>
  <c r="D10" i="3"/>
  <c r="C10" i="3"/>
  <c r="BE9" i="3"/>
  <c r="R9" i="3"/>
  <c r="I9" i="3"/>
  <c r="H9" i="3"/>
  <c r="G9" i="3"/>
  <c r="F9" i="3"/>
  <c r="E9" i="3"/>
  <c r="D9" i="3"/>
  <c r="C9" i="3"/>
  <c r="BE8" i="3"/>
  <c r="R8" i="3"/>
  <c r="I8" i="3"/>
  <c r="H8" i="3"/>
  <c r="G8" i="3"/>
  <c r="F8" i="3"/>
  <c r="E8" i="3"/>
  <c r="D8" i="3"/>
  <c r="C8" i="3"/>
  <c r="BE7" i="3"/>
  <c r="R7" i="3"/>
  <c r="I7" i="3"/>
  <c r="H7" i="3"/>
  <c r="G7" i="3"/>
  <c r="F7" i="3"/>
  <c r="E7" i="3"/>
  <c r="D7" i="3"/>
  <c r="C7" i="3"/>
  <c r="BE6" i="3"/>
  <c r="R6" i="3"/>
  <c r="I6" i="3"/>
  <c r="H6" i="3"/>
  <c r="G6" i="3"/>
  <c r="F6" i="3"/>
  <c r="E6" i="3"/>
  <c r="D6" i="3"/>
  <c r="C6" i="3"/>
  <c r="BE5" i="3"/>
  <c r="R5" i="3"/>
  <c r="I5" i="3"/>
  <c r="H5" i="3"/>
  <c r="G5" i="3"/>
  <c r="F5" i="3"/>
  <c r="E5" i="3"/>
  <c r="D5" i="3"/>
  <c r="C5" i="3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B122" i="2"/>
  <c r="AA122" i="2"/>
  <c r="Z122" i="2"/>
  <c r="X122" i="2"/>
  <c r="V122" i="2"/>
  <c r="R122" i="2"/>
  <c r="Q122" i="2"/>
  <c r="P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R121" i="2"/>
  <c r="BE120" i="2"/>
  <c r="R120" i="2"/>
  <c r="I120" i="2"/>
  <c r="H120" i="2"/>
  <c r="G120" i="2"/>
  <c r="F120" i="2"/>
  <c r="E120" i="2"/>
  <c r="D120" i="2"/>
  <c r="C120" i="2"/>
  <c r="R119" i="2"/>
  <c r="BE118" i="2"/>
  <c r="R118" i="2"/>
  <c r="I118" i="2"/>
  <c r="H118" i="2"/>
  <c r="G118" i="2"/>
  <c r="F118" i="2"/>
  <c r="E118" i="2"/>
  <c r="D118" i="2"/>
  <c r="C118" i="2"/>
  <c r="BE117" i="2"/>
  <c r="R117" i="2"/>
  <c r="I117" i="2"/>
  <c r="H117" i="2"/>
  <c r="G117" i="2"/>
  <c r="F117" i="2"/>
  <c r="E117" i="2"/>
  <c r="D117" i="2"/>
  <c r="C117" i="2"/>
  <c r="BE116" i="2"/>
  <c r="R116" i="2"/>
  <c r="I116" i="2"/>
  <c r="H116" i="2"/>
  <c r="G116" i="2"/>
  <c r="F116" i="2"/>
  <c r="E116" i="2"/>
  <c r="D116" i="2"/>
  <c r="C116" i="2"/>
  <c r="R115" i="2"/>
  <c r="I115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R114" i="2"/>
  <c r="Q114" i="2"/>
  <c r="P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E113" i="2"/>
  <c r="R113" i="2"/>
  <c r="I113" i="2"/>
  <c r="H113" i="2"/>
  <c r="G113" i="2"/>
  <c r="F113" i="2"/>
  <c r="E113" i="2"/>
  <c r="D113" i="2"/>
  <c r="C113" i="2"/>
  <c r="BE112" i="2"/>
  <c r="R112" i="2"/>
  <c r="I112" i="2"/>
  <c r="H112" i="2"/>
  <c r="G112" i="2"/>
  <c r="F112" i="2"/>
  <c r="E112" i="2"/>
  <c r="D112" i="2"/>
  <c r="C112" i="2"/>
  <c r="BE111" i="2"/>
  <c r="R111" i="2"/>
  <c r="I111" i="2"/>
  <c r="H111" i="2"/>
  <c r="G111" i="2"/>
  <c r="F111" i="2"/>
  <c r="E111" i="2"/>
  <c r="D111" i="2"/>
  <c r="C111" i="2"/>
  <c r="BE110" i="2"/>
  <c r="R110" i="2"/>
  <c r="I110" i="2"/>
  <c r="H110" i="2"/>
  <c r="G110" i="2"/>
  <c r="F110" i="2"/>
  <c r="E110" i="2"/>
  <c r="D110" i="2"/>
  <c r="C110" i="2"/>
  <c r="BE109" i="2"/>
  <c r="R109" i="2"/>
  <c r="I109" i="2"/>
  <c r="H109" i="2"/>
  <c r="G109" i="2"/>
  <c r="F109" i="2"/>
  <c r="E109" i="2"/>
  <c r="D109" i="2"/>
  <c r="C109" i="2"/>
  <c r="BE108" i="2"/>
  <c r="R108" i="2"/>
  <c r="I108" i="2"/>
  <c r="H108" i="2"/>
  <c r="G108" i="2"/>
  <c r="F108" i="2"/>
  <c r="E108" i="2"/>
  <c r="D108" i="2"/>
  <c r="C108" i="2"/>
  <c r="BE107" i="2"/>
  <c r="R107" i="2"/>
  <c r="I107" i="2"/>
  <c r="H107" i="2"/>
  <c r="G107" i="2"/>
  <c r="F107" i="2"/>
  <c r="E107" i="2"/>
  <c r="D107" i="2"/>
  <c r="C107" i="2"/>
  <c r="BE106" i="2"/>
  <c r="R106" i="2"/>
  <c r="I106" i="2"/>
  <c r="H106" i="2"/>
  <c r="G106" i="2"/>
  <c r="F106" i="2"/>
  <c r="E106" i="2"/>
  <c r="D106" i="2"/>
  <c r="C106" i="2"/>
  <c r="BE105" i="2"/>
  <c r="R105" i="2"/>
  <c r="I105" i="2"/>
  <c r="H105" i="2"/>
  <c r="G105" i="2"/>
  <c r="F105" i="2"/>
  <c r="E105" i="2"/>
  <c r="D105" i="2"/>
  <c r="C105" i="2"/>
  <c r="BE104" i="2"/>
  <c r="R104" i="2"/>
  <c r="I104" i="2"/>
  <c r="H104" i="2"/>
  <c r="G104" i="2"/>
  <c r="F104" i="2"/>
  <c r="E104" i="2"/>
  <c r="D104" i="2"/>
  <c r="C104" i="2"/>
  <c r="BE103" i="2"/>
  <c r="R103" i="2"/>
  <c r="I103" i="2"/>
  <c r="H103" i="2"/>
  <c r="G103" i="2"/>
  <c r="F103" i="2"/>
  <c r="E103" i="2"/>
  <c r="D103" i="2"/>
  <c r="C103" i="2"/>
  <c r="BE102" i="2"/>
  <c r="R102" i="2"/>
  <c r="I102" i="2"/>
  <c r="H102" i="2"/>
  <c r="G102" i="2"/>
  <c r="F102" i="2"/>
  <c r="E102" i="2"/>
  <c r="D102" i="2"/>
  <c r="C102" i="2"/>
  <c r="BE101" i="2"/>
  <c r="R101" i="2"/>
  <c r="I101" i="2"/>
  <c r="H101" i="2"/>
  <c r="G101" i="2"/>
  <c r="F101" i="2"/>
  <c r="E101" i="2"/>
  <c r="D101" i="2"/>
  <c r="C101" i="2"/>
  <c r="BE100" i="2"/>
  <c r="R100" i="2"/>
  <c r="I100" i="2"/>
  <c r="H100" i="2"/>
  <c r="G100" i="2"/>
  <c r="F100" i="2"/>
  <c r="E100" i="2"/>
  <c r="D100" i="2"/>
  <c r="C100" i="2"/>
  <c r="BE99" i="2"/>
  <c r="R99" i="2"/>
  <c r="I99" i="2"/>
  <c r="H99" i="2"/>
  <c r="G99" i="2"/>
  <c r="F99" i="2"/>
  <c r="E99" i="2"/>
  <c r="D99" i="2"/>
  <c r="C99" i="2"/>
  <c r="BE98" i="2"/>
  <c r="R98" i="2"/>
  <c r="I98" i="2"/>
  <c r="H98" i="2"/>
  <c r="G98" i="2"/>
  <c r="F98" i="2"/>
  <c r="E98" i="2"/>
  <c r="D98" i="2"/>
  <c r="C98" i="2"/>
  <c r="BE97" i="2"/>
  <c r="R97" i="2"/>
  <c r="I97" i="2"/>
  <c r="H97" i="2"/>
  <c r="G97" i="2"/>
  <c r="F97" i="2"/>
  <c r="E97" i="2"/>
  <c r="D97" i="2"/>
  <c r="C97" i="2"/>
  <c r="BE96" i="2"/>
  <c r="R96" i="2"/>
  <c r="I96" i="2"/>
  <c r="H96" i="2"/>
  <c r="G96" i="2"/>
  <c r="F96" i="2"/>
  <c r="E96" i="2"/>
  <c r="D96" i="2"/>
  <c r="C96" i="2"/>
  <c r="BE95" i="2"/>
  <c r="R95" i="2"/>
  <c r="I95" i="2"/>
  <c r="H95" i="2"/>
  <c r="G95" i="2"/>
  <c r="F95" i="2"/>
  <c r="E95" i="2"/>
  <c r="D95" i="2"/>
  <c r="C95" i="2"/>
  <c r="BE94" i="2"/>
  <c r="R94" i="2"/>
  <c r="I94" i="2"/>
  <c r="H94" i="2"/>
  <c r="G94" i="2"/>
  <c r="F94" i="2"/>
  <c r="E94" i="2"/>
  <c r="D94" i="2"/>
  <c r="C94" i="2"/>
  <c r="BE93" i="2"/>
  <c r="R93" i="2"/>
  <c r="I93" i="2"/>
  <c r="H93" i="2"/>
  <c r="G93" i="2"/>
  <c r="F93" i="2"/>
  <c r="E93" i="2"/>
  <c r="D93" i="2"/>
  <c r="C93" i="2"/>
  <c r="BE92" i="2"/>
  <c r="R92" i="2"/>
  <c r="I92" i="2"/>
  <c r="H92" i="2"/>
  <c r="G92" i="2"/>
  <c r="F92" i="2"/>
  <c r="E92" i="2"/>
  <c r="D92" i="2"/>
  <c r="C92" i="2"/>
  <c r="BE91" i="2"/>
  <c r="R91" i="2"/>
  <c r="I91" i="2"/>
  <c r="H91" i="2"/>
  <c r="G91" i="2"/>
  <c r="F91" i="2"/>
  <c r="E91" i="2"/>
  <c r="D91" i="2"/>
  <c r="C91" i="2"/>
  <c r="BE90" i="2"/>
  <c r="R90" i="2"/>
  <c r="I90" i="2"/>
  <c r="H90" i="2"/>
  <c r="G90" i="2"/>
  <c r="F90" i="2"/>
  <c r="E90" i="2"/>
  <c r="D90" i="2"/>
  <c r="C90" i="2"/>
  <c r="BE89" i="2"/>
  <c r="R89" i="2"/>
  <c r="I89" i="2"/>
  <c r="H89" i="2"/>
  <c r="G89" i="2"/>
  <c r="F89" i="2"/>
  <c r="E89" i="2"/>
  <c r="D89" i="2"/>
  <c r="C89" i="2"/>
  <c r="BE88" i="2"/>
  <c r="R88" i="2"/>
  <c r="I88" i="2"/>
  <c r="H88" i="2"/>
  <c r="G88" i="2"/>
  <c r="F88" i="2"/>
  <c r="E88" i="2"/>
  <c r="D88" i="2"/>
  <c r="C88" i="2"/>
  <c r="BE87" i="2"/>
  <c r="R87" i="2"/>
  <c r="I87" i="2"/>
  <c r="H87" i="2"/>
  <c r="G87" i="2"/>
  <c r="F87" i="2"/>
  <c r="E87" i="2"/>
  <c r="D87" i="2"/>
  <c r="C87" i="2"/>
  <c r="BE86" i="2"/>
  <c r="R86" i="2"/>
  <c r="I86" i="2"/>
  <c r="H86" i="2"/>
  <c r="G86" i="2"/>
  <c r="F86" i="2"/>
  <c r="E86" i="2"/>
  <c r="D86" i="2"/>
  <c r="C86" i="2"/>
  <c r="BE85" i="2"/>
  <c r="R85" i="2"/>
  <c r="I85" i="2"/>
  <c r="H85" i="2"/>
  <c r="G85" i="2"/>
  <c r="F85" i="2"/>
  <c r="E85" i="2"/>
  <c r="D85" i="2"/>
  <c r="C85" i="2"/>
  <c r="BE84" i="2"/>
  <c r="R84" i="2"/>
  <c r="I84" i="2"/>
  <c r="H84" i="2"/>
  <c r="G84" i="2"/>
  <c r="F84" i="2"/>
  <c r="E84" i="2"/>
  <c r="D84" i="2"/>
  <c r="C84" i="2"/>
  <c r="BE83" i="2"/>
  <c r="R83" i="2"/>
  <c r="I83" i="2"/>
  <c r="H83" i="2"/>
  <c r="G83" i="2"/>
  <c r="F83" i="2"/>
  <c r="E83" i="2"/>
  <c r="D83" i="2"/>
  <c r="C83" i="2"/>
  <c r="BE82" i="2"/>
  <c r="R82" i="2"/>
  <c r="I82" i="2"/>
  <c r="H82" i="2"/>
  <c r="G82" i="2"/>
  <c r="F82" i="2"/>
  <c r="E82" i="2"/>
  <c r="D82" i="2"/>
  <c r="C82" i="2"/>
  <c r="BE81" i="2"/>
  <c r="R81" i="2"/>
  <c r="I81" i="2"/>
  <c r="H81" i="2"/>
  <c r="G81" i="2"/>
  <c r="F81" i="2"/>
  <c r="E81" i="2"/>
  <c r="D81" i="2"/>
  <c r="C81" i="2"/>
  <c r="BE80" i="2"/>
  <c r="R80" i="2"/>
  <c r="I80" i="2"/>
  <c r="H80" i="2"/>
  <c r="G80" i="2"/>
  <c r="F80" i="2"/>
  <c r="E80" i="2"/>
  <c r="D80" i="2"/>
  <c r="C80" i="2"/>
  <c r="BE79" i="2"/>
  <c r="R79" i="2"/>
  <c r="I79" i="2"/>
  <c r="H79" i="2"/>
  <c r="G79" i="2"/>
  <c r="F79" i="2"/>
  <c r="E79" i="2"/>
  <c r="D79" i="2"/>
  <c r="C79" i="2"/>
  <c r="BE78" i="2"/>
  <c r="R78" i="2"/>
  <c r="I78" i="2"/>
  <c r="H78" i="2"/>
  <c r="G78" i="2"/>
  <c r="F78" i="2"/>
  <c r="E78" i="2"/>
  <c r="D78" i="2"/>
  <c r="C78" i="2"/>
  <c r="BE77" i="2"/>
  <c r="R77" i="2"/>
  <c r="I77" i="2"/>
  <c r="H77" i="2"/>
  <c r="G77" i="2"/>
  <c r="F77" i="2"/>
  <c r="E77" i="2"/>
  <c r="D77" i="2"/>
  <c r="C77" i="2"/>
  <c r="BE76" i="2"/>
  <c r="R76" i="2"/>
  <c r="I76" i="2"/>
  <c r="H76" i="2"/>
  <c r="G76" i="2"/>
  <c r="F76" i="2"/>
  <c r="E76" i="2"/>
  <c r="D76" i="2"/>
  <c r="C76" i="2"/>
  <c r="BE75" i="2"/>
  <c r="R75" i="2"/>
  <c r="I75" i="2"/>
  <c r="H75" i="2"/>
  <c r="G75" i="2"/>
  <c r="F75" i="2"/>
  <c r="E75" i="2"/>
  <c r="D75" i="2"/>
  <c r="C75" i="2"/>
  <c r="BE74" i="2"/>
  <c r="R74" i="2"/>
  <c r="I74" i="2"/>
  <c r="H74" i="2"/>
  <c r="G74" i="2"/>
  <c r="F74" i="2"/>
  <c r="E74" i="2"/>
  <c r="D74" i="2"/>
  <c r="C74" i="2"/>
  <c r="BE73" i="2"/>
  <c r="R73" i="2"/>
  <c r="I73" i="2"/>
  <c r="H73" i="2"/>
  <c r="G73" i="2"/>
  <c r="F73" i="2"/>
  <c r="E73" i="2"/>
  <c r="D73" i="2"/>
  <c r="C73" i="2"/>
  <c r="BE72" i="2"/>
  <c r="R72" i="2"/>
  <c r="I72" i="2"/>
  <c r="H72" i="2"/>
  <c r="G72" i="2"/>
  <c r="F72" i="2"/>
  <c r="E72" i="2"/>
  <c r="D72" i="2"/>
  <c r="C72" i="2"/>
  <c r="BE71" i="2"/>
  <c r="R71" i="2"/>
  <c r="I71" i="2"/>
  <c r="H71" i="2"/>
  <c r="G71" i="2"/>
  <c r="F71" i="2"/>
  <c r="E71" i="2"/>
  <c r="D71" i="2"/>
  <c r="C71" i="2"/>
  <c r="BE70" i="2"/>
  <c r="R70" i="2"/>
  <c r="I70" i="2"/>
  <c r="H70" i="2"/>
  <c r="G70" i="2"/>
  <c r="F70" i="2"/>
  <c r="E70" i="2"/>
  <c r="D70" i="2"/>
  <c r="C70" i="2"/>
  <c r="BE69" i="2"/>
  <c r="R69" i="2"/>
  <c r="I69" i="2"/>
  <c r="H69" i="2"/>
  <c r="G69" i="2"/>
  <c r="F69" i="2"/>
  <c r="E69" i="2"/>
  <c r="D69" i="2"/>
  <c r="C69" i="2"/>
  <c r="BE68" i="2"/>
  <c r="R68" i="2"/>
  <c r="I68" i="2"/>
  <c r="H68" i="2"/>
  <c r="G68" i="2"/>
  <c r="F68" i="2"/>
  <c r="E68" i="2"/>
  <c r="D68" i="2"/>
  <c r="C68" i="2"/>
  <c r="BE67" i="2"/>
  <c r="R67" i="2"/>
  <c r="I67" i="2"/>
  <c r="H67" i="2"/>
  <c r="G67" i="2"/>
  <c r="F67" i="2"/>
  <c r="E67" i="2"/>
  <c r="D67" i="2"/>
  <c r="C67" i="2"/>
  <c r="BE66" i="2"/>
  <c r="R66" i="2"/>
  <c r="I66" i="2"/>
  <c r="H66" i="2"/>
  <c r="G66" i="2"/>
  <c r="F66" i="2"/>
  <c r="E66" i="2"/>
  <c r="D66" i="2"/>
  <c r="C66" i="2"/>
  <c r="BE65" i="2"/>
  <c r="R65" i="2"/>
  <c r="I65" i="2"/>
  <c r="H65" i="2"/>
  <c r="G65" i="2"/>
  <c r="F65" i="2"/>
  <c r="E65" i="2"/>
  <c r="D65" i="2"/>
  <c r="C65" i="2"/>
  <c r="BE64" i="2"/>
  <c r="R64" i="2"/>
  <c r="I64" i="2"/>
  <c r="H64" i="2"/>
  <c r="G64" i="2"/>
  <c r="F64" i="2"/>
  <c r="E64" i="2"/>
  <c r="D64" i="2"/>
  <c r="C64" i="2"/>
  <c r="BE63" i="2"/>
  <c r="R63" i="2"/>
  <c r="I63" i="2"/>
  <c r="H63" i="2"/>
  <c r="G63" i="2"/>
  <c r="F63" i="2"/>
  <c r="E63" i="2"/>
  <c r="D63" i="2"/>
  <c r="C63" i="2"/>
  <c r="BE62" i="2"/>
  <c r="R62" i="2"/>
  <c r="I62" i="2"/>
  <c r="H62" i="2"/>
  <c r="G62" i="2"/>
  <c r="F62" i="2"/>
  <c r="E62" i="2"/>
  <c r="D62" i="2"/>
  <c r="C62" i="2"/>
  <c r="BE61" i="2"/>
  <c r="R61" i="2"/>
  <c r="I61" i="2"/>
  <c r="H61" i="2"/>
  <c r="G61" i="2"/>
  <c r="F61" i="2"/>
  <c r="E61" i="2"/>
  <c r="D61" i="2"/>
  <c r="C61" i="2"/>
  <c r="BE60" i="2"/>
  <c r="R60" i="2"/>
  <c r="I60" i="2"/>
  <c r="H60" i="2"/>
  <c r="G60" i="2"/>
  <c r="F60" i="2"/>
  <c r="E60" i="2"/>
  <c r="D60" i="2"/>
  <c r="C60" i="2"/>
  <c r="BE59" i="2"/>
  <c r="R59" i="2"/>
  <c r="I59" i="2"/>
  <c r="H59" i="2"/>
  <c r="G59" i="2"/>
  <c r="F59" i="2"/>
  <c r="E59" i="2"/>
  <c r="D59" i="2"/>
  <c r="C59" i="2"/>
  <c r="BE58" i="2"/>
  <c r="R58" i="2"/>
  <c r="I58" i="2"/>
  <c r="H58" i="2"/>
  <c r="G58" i="2"/>
  <c r="F58" i="2"/>
  <c r="E58" i="2"/>
  <c r="D58" i="2"/>
  <c r="C58" i="2"/>
  <c r="BE57" i="2"/>
  <c r="R57" i="2"/>
  <c r="I57" i="2"/>
  <c r="H57" i="2"/>
  <c r="G57" i="2"/>
  <c r="F57" i="2"/>
  <c r="E57" i="2"/>
  <c r="D57" i="2"/>
  <c r="C57" i="2"/>
  <c r="BE56" i="2"/>
  <c r="R56" i="2"/>
  <c r="I56" i="2"/>
  <c r="H56" i="2"/>
  <c r="G56" i="2"/>
  <c r="F56" i="2"/>
  <c r="E56" i="2"/>
  <c r="D56" i="2"/>
  <c r="C56" i="2"/>
  <c r="BE55" i="2"/>
  <c r="R55" i="2"/>
  <c r="I55" i="2"/>
  <c r="H55" i="2"/>
  <c r="G55" i="2"/>
  <c r="F55" i="2"/>
  <c r="E55" i="2"/>
  <c r="D55" i="2"/>
  <c r="C55" i="2"/>
  <c r="BE54" i="2"/>
  <c r="R54" i="2"/>
  <c r="I54" i="2"/>
  <c r="H54" i="2"/>
  <c r="G54" i="2"/>
  <c r="F54" i="2"/>
  <c r="E54" i="2"/>
  <c r="D54" i="2"/>
  <c r="C54" i="2"/>
  <c r="BE53" i="2"/>
  <c r="R53" i="2"/>
  <c r="I53" i="2"/>
  <c r="H53" i="2"/>
  <c r="G53" i="2"/>
  <c r="F53" i="2"/>
  <c r="E53" i="2"/>
  <c r="D53" i="2"/>
  <c r="C53" i="2"/>
  <c r="BE52" i="2"/>
  <c r="R52" i="2"/>
  <c r="I52" i="2"/>
  <c r="H52" i="2"/>
  <c r="G52" i="2"/>
  <c r="F52" i="2"/>
  <c r="E52" i="2"/>
  <c r="D52" i="2"/>
  <c r="C52" i="2"/>
  <c r="BE51" i="2"/>
  <c r="R51" i="2"/>
  <c r="I51" i="2"/>
  <c r="H51" i="2"/>
  <c r="G51" i="2"/>
  <c r="F51" i="2"/>
  <c r="E51" i="2"/>
  <c r="D51" i="2"/>
  <c r="C51" i="2"/>
  <c r="BE50" i="2"/>
  <c r="R50" i="2"/>
  <c r="I50" i="2"/>
  <c r="H50" i="2"/>
  <c r="G50" i="2"/>
  <c r="F50" i="2"/>
  <c r="E50" i="2"/>
  <c r="D50" i="2"/>
  <c r="C50" i="2"/>
  <c r="BE49" i="2"/>
  <c r="R49" i="2"/>
  <c r="I49" i="2"/>
  <c r="H49" i="2"/>
  <c r="G49" i="2"/>
  <c r="F49" i="2"/>
  <c r="E49" i="2"/>
  <c r="D49" i="2"/>
  <c r="C49" i="2"/>
  <c r="BE48" i="2"/>
  <c r="R48" i="2"/>
  <c r="I48" i="2"/>
  <c r="H48" i="2"/>
  <c r="G48" i="2"/>
  <c r="F48" i="2"/>
  <c r="E48" i="2"/>
  <c r="D48" i="2"/>
  <c r="C48" i="2"/>
  <c r="BE47" i="2"/>
  <c r="R47" i="2"/>
  <c r="I47" i="2"/>
  <c r="H47" i="2"/>
  <c r="G47" i="2"/>
  <c r="F47" i="2"/>
  <c r="E47" i="2"/>
  <c r="D47" i="2"/>
  <c r="C47" i="2"/>
  <c r="R46" i="2"/>
  <c r="I46" i="2"/>
  <c r="H46" i="2"/>
  <c r="G46" i="2"/>
  <c r="F46" i="2"/>
  <c r="E46" i="2"/>
  <c r="D46" i="2"/>
  <c r="C46" i="2"/>
  <c r="BE45" i="2"/>
  <c r="R45" i="2"/>
  <c r="I45" i="2"/>
  <c r="H45" i="2"/>
  <c r="G45" i="2"/>
  <c r="F45" i="2"/>
  <c r="E45" i="2"/>
  <c r="D45" i="2"/>
  <c r="C45" i="2"/>
  <c r="BE44" i="2"/>
  <c r="R44" i="2"/>
  <c r="I44" i="2"/>
  <c r="H44" i="2"/>
  <c r="G44" i="2"/>
  <c r="F44" i="2"/>
  <c r="E44" i="2"/>
  <c r="D44" i="2"/>
  <c r="C44" i="2"/>
  <c r="BE43" i="2"/>
  <c r="R43" i="2"/>
  <c r="I43" i="2"/>
  <c r="H43" i="2"/>
  <c r="G43" i="2"/>
  <c r="F43" i="2"/>
  <c r="E43" i="2"/>
  <c r="D43" i="2"/>
  <c r="C43" i="2"/>
  <c r="BE42" i="2"/>
  <c r="R42" i="2"/>
  <c r="I42" i="2"/>
  <c r="H42" i="2"/>
  <c r="G42" i="2"/>
  <c r="F42" i="2"/>
  <c r="E42" i="2"/>
  <c r="D42" i="2"/>
  <c r="C42" i="2"/>
  <c r="BE41" i="2"/>
  <c r="R41" i="2"/>
  <c r="I41" i="2"/>
  <c r="H41" i="2"/>
  <c r="G41" i="2"/>
  <c r="F41" i="2"/>
  <c r="E41" i="2"/>
  <c r="D41" i="2"/>
  <c r="C41" i="2"/>
  <c r="BE40" i="2"/>
  <c r="R40" i="2"/>
  <c r="I40" i="2"/>
  <c r="H40" i="2"/>
  <c r="G40" i="2"/>
  <c r="F40" i="2"/>
  <c r="E40" i="2"/>
  <c r="D40" i="2"/>
  <c r="C40" i="2"/>
  <c r="BE39" i="2"/>
  <c r="R39" i="2"/>
  <c r="I39" i="2"/>
  <c r="H39" i="2"/>
  <c r="G39" i="2"/>
  <c r="F39" i="2"/>
  <c r="E39" i="2"/>
  <c r="D39" i="2"/>
  <c r="C39" i="2"/>
  <c r="BE38" i="2"/>
  <c r="R38" i="2"/>
  <c r="I38" i="2"/>
  <c r="H38" i="2"/>
  <c r="G38" i="2"/>
  <c r="F38" i="2"/>
  <c r="E38" i="2"/>
  <c r="D38" i="2"/>
  <c r="C38" i="2"/>
  <c r="BE37" i="2"/>
  <c r="R37" i="2"/>
  <c r="I37" i="2"/>
  <c r="H37" i="2"/>
  <c r="G37" i="2"/>
  <c r="F37" i="2"/>
  <c r="E37" i="2"/>
  <c r="D37" i="2"/>
  <c r="C37" i="2"/>
  <c r="BE36" i="2"/>
  <c r="R36" i="2"/>
  <c r="I36" i="2"/>
  <c r="H36" i="2"/>
  <c r="G36" i="2"/>
  <c r="F36" i="2"/>
  <c r="E36" i="2"/>
  <c r="D36" i="2"/>
  <c r="C36" i="2"/>
  <c r="BE35" i="2"/>
  <c r="R35" i="2"/>
  <c r="I35" i="2"/>
  <c r="H35" i="2"/>
  <c r="G35" i="2"/>
  <c r="F35" i="2"/>
  <c r="E35" i="2"/>
  <c r="D35" i="2"/>
  <c r="C35" i="2"/>
  <c r="BE34" i="2"/>
  <c r="R34" i="2"/>
  <c r="I34" i="2"/>
  <c r="H34" i="2"/>
  <c r="G34" i="2"/>
  <c r="F34" i="2"/>
  <c r="E34" i="2"/>
  <c r="D34" i="2"/>
  <c r="C34" i="2"/>
  <c r="BE33" i="2"/>
  <c r="R33" i="2"/>
  <c r="I33" i="2"/>
  <c r="H33" i="2"/>
  <c r="G33" i="2"/>
  <c r="F33" i="2"/>
  <c r="E33" i="2"/>
  <c r="D33" i="2"/>
  <c r="C33" i="2"/>
  <c r="BE32" i="2"/>
  <c r="R32" i="2"/>
  <c r="I32" i="2"/>
  <c r="H32" i="2"/>
  <c r="G32" i="2"/>
  <c r="F32" i="2"/>
  <c r="E32" i="2"/>
  <c r="D32" i="2"/>
  <c r="C32" i="2"/>
  <c r="BE31" i="2"/>
  <c r="R31" i="2"/>
  <c r="I31" i="2"/>
  <c r="H31" i="2"/>
  <c r="G31" i="2"/>
  <c r="F31" i="2"/>
  <c r="E31" i="2"/>
  <c r="D31" i="2"/>
  <c r="C31" i="2"/>
  <c r="BE30" i="2"/>
  <c r="R30" i="2"/>
  <c r="I30" i="2"/>
  <c r="H30" i="2"/>
  <c r="G30" i="2"/>
  <c r="F30" i="2"/>
  <c r="E30" i="2"/>
  <c r="D30" i="2"/>
  <c r="C30" i="2"/>
  <c r="BE29" i="2"/>
  <c r="R29" i="2"/>
  <c r="I29" i="2"/>
  <c r="H29" i="2"/>
  <c r="G29" i="2"/>
  <c r="F29" i="2"/>
  <c r="E29" i="2"/>
  <c r="D29" i="2"/>
  <c r="C29" i="2"/>
  <c r="BE28" i="2"/>
  <c r="R28" i="2"/>
  <c r="I28" i="2"/>
  <c r="H28" i="2"/>
  <c r="G28" i="2"/>
  <c r="F28" i="2"/>
  <c r="E28" i="2"/>
  <c r="D28" i="2"/>
  <c r="C28" i="2"/>
  <c r="BE27" i="2"/>
  <c r="R27" i="2"/>
  <c r="I27" i="2"/>
  <c r="H27" i="2"/>
  <c r="G27" i="2"/>
  <c r="F27" i="2"/>
  <c r="E27" i="2"/>
  <c r="D27" i="2"/>
  <c r="C27" i="2"/>
  <c r="BE26" i="2"/>
  <c r="R26" i="2"/>
  <c r="I26" i="2"/>
  <c r="H26" i="2"/>
  <c r="G26" i="2"/>
  <c r="F26" i="2"/>
  <c r="E26" i="2"/>
  <c r="D26" i="2"/>
  <c r="C26" i="2"/>
  <c r="BE25" i="2"/>
  <c r="R25" i="2"/>
  <c r="I25" i="2"/>
  <c r="H25" i="2"/>
  <c r="G25" i="2"/>
  <c r="F25" i="2"/>
  <c r="E25" i="2"/>
  <c r="D25" i="2"/>
  <c r="C25" i="2"/>
  <c r="BE24" i="2"/>
  <c r="R24" i="2"/>
  <c r="I24" i="2"/>
  <c r="H24" i="2"/>
  <c r="G24" i="2"/>
  <c r="F24" i="2"/>
  <c r="E24" i="2"/>
  <c r="D24" i="2"/>
  <c r="C24" i="2"/>
  <c r="BE23" i="2"/>
  <c r="R23" i="2"/>
  <c r="I23" i="2"/>
  <c r="H23" i="2"/>
  <c r="G23" i="2"/>
  <c r="F23" i="2"/>
  <c r="E23" i="2"/>
  <c r="D23" i="2"/>
  <c r="C23" i="2"/>
  <c r="BE22" i="2"/>
  <c r="R22" i="2"/>
  <c r="I22" i="2"/>
  <c r="H22" i="2"/>
  <c r="G22" i="2"/>
  <c r="F22" i="2"/>
  <c r="E22" i="2"/>
  <c r="D22" i="2"/>
  <c r="C22" i="2"/>
  <c r="BE21" i="2"/>
  <c r="R21" i="2"/>
  <c r="I21" i="2"/>
  <c r="H21" i="2"/>
  <c r="G21" i="2"/>
  <c r="F21" i="2"/>
  <c r="E21" i="2"/>
  <c r="D21" i="2"/>
  <c r="C21" i="2"/>
  <c r="BE20" i="2"/>
  <c r="R20" i="2"/>
  <c r="I20" i="2"/>
  <c r="H20" i="2"/>
  <c r="G20" i="2"/>
  <c r="F20" i="2"/>
  <c r="E20" i="2"/>
  <c r="D20" i="2"/>
  <c r="C20" i="2"/>
  <c r="BE19" i="2"/>
  <c r="R19" i="2"/>
  <c r="I19" i="2"/>
  <c r="H19" i="2"/>
  <c r="G19" i="2"/>
  <c r="F19" i="2"/>
  <c r="E19" i="2"/>
  <c r="D19" i="2"/>
  <c r="C19" i="2"/>
  <c r="BE18" i="2"/>
  <c r="R18" i="2"/>
  <c r="I18" i="2"/>
  <c r="H18" i="2"/>
  <c r="G18" i="2"/>
  <c r="F18" i="2"/>
  <c r="E18" i="2"/>
  <c r="D18" i="2"/>
  <c r="C18" i="2"/>
  <c r="BE17" i="2"/>
  <c r="R17" i="2"/>
  <c r="I17" i="2"/>
  <c r="H17" i="2"/>
  <c r="G17" i="2"/>
  <c r="F17" i="2"/>
  <c r="E17" i="2"/>
  <c r="D17" i="2"/>
  <c r="C17" i="2"/>
  <c r="BE16" i="2"/>
  <c r="R16" i="2"/>
  <c r="I16" i="2"/>
  <c r="H16" i="2"/>
  <c r="G16" i="2"/>
  <c r="F16" i="2"/>
  <c r="E16" i="2"/>
  <c r="D16" i="2"/>
  <c r="C16" i="2"/>
  <c r="BE15" i="2"/>
  <c r="R15" i="2"/>
  <c r="I15" i="2"/>
  <c r="H15" i="2"/>
  <c r="G15" i="2"/>
  <c r="F15" i="2"/>
  <c r="E15" i="2"/>
  <c r="D15" i="2"/>
  <c r="C15" i="2"/>
  <c r="BE14" i="2"/>
  <c r="R14" i="2"/>
  <c r="I14" i="2"/>
  <c r="H14" i="2"/>
  <c r="G14" i="2"/>
  <c r="F14" i="2"/>
  <c r="E14" i="2"/>
  <c r="D14" i="2"/>
  <c r="C14" i="2"/>
  <c r="BE13" i="2"/>
  <c r="R13" i="2"/>
  <c r="I13" i="2"/>
  <c r="H13" i="2"/>
  <c r="G13" i="2"/>
  <c r="F13" i="2"/>
  <c r="E13" i="2"/>
  <c r="D13" i="2"/>
  <c r="C13" i="2"/>
  <c r="BE12" i="2"/>
  <c r="R12" i="2"/>
  <c r="I12" i="2"/>
  <c r="H12" i="2"/>
  <c r="G12" i="2"/>
  <c r="F12" i="2"/>
  <c r="E12" i="2"/>
  <c r="D12" i="2"/>
  <c r="C12" i="2"/>
  <c r="BE11" i="2"/>
  <c r="R11" i="2"/>
  <c r="I11" i="2"/>
  <c r="H11" i="2"/>
  <c r="G11" i="2"/>
  <c r="F11" i="2"/>
  <c r="E11" i="2"/>
  <c r="D11" i="2"/>
  <c r="C11" i="2"/>
  <c r="BE10" i="2"/>
  <c r="R10" i="2"/>
  <c r="I10" i="2"/>
  <c r="H10" i="2"/>
  <c r="G10" i="2"/>
  <c r="F10" i="2"/>
  <c r="E10" i="2"/>
  <c r="D10" i="2"/>
  <c r="C10" i="2"/>
  <c r="BE9" i="2"/>
  <c r="R9" i="2"/>
  <c r="I9" i="2"/>
  <c r="H9" i="2"/>
  <c r="G9" i="2"/>
  <c r="F9" i="2"/>
  <c r="E9" i="2"/>
  <c r="D9" i="2"/>
  <c r="C9" i="2"/>
  <c r="BE8" i="2"/>
  <c r="R8" i="2"/>
  <c r="I8" i="2"/>
  <c r="H8" i="2"/>
  <c r="G8" i="2"/>
  <c r="F8" i="2"/>
  <c r="E8" i="2"/>
  <c r="D8" i="2"/>
  <c r="C8" i="2"/>
  <c r="BE7" i="2"/>
  <c r="R7" i="2"/>
  <c r="I7" i="2"/>
  <c r="H7" i="2"/>
  <c r="G7" i="2"/>
  <c r="F7" i="2"/>
  <c r="E7" i="2"/>
  <c r="D7" i="2"/>
  <c r="C7" i="2"/>
  <c r="BE6" i="2"/>
  <c r="R6" i="2"/>
  <c r="I6" i="2"/>
  <c r="H6" i="2"/>
  <c r="G6" i="2"/>
  <c r="F6" i="2"/>
  <c r="E6" i="2"/>
  <c r="D6" i="2"/>
  <c r="C6" i="2"/>
  <c r="BE5" i="2"/>
  <c r="R5" i="2"/>
  <c r="I5" i="2"/>
  <c r="H5" i="2"/>
  <c r="G5" i="2"/>
  <c r="F5" i="2"/>
  <c r="E5" i="2"/>
  <c r="D5" i="2"/>
  <c r="C5" i="2"/>
  <c r="R7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B19" authorId="0" shapeId="0" xr:uid="{00000000-0006-0000-0000-000001000000}">
      <text>
        <r>
          <rPr>
            <sz val="9"/>
            <rFont val="宋体"/>
            <family val="3"/>
            <charset val="134"/>
          </rPr>
          <t>此项目如发生需手动调金额，调整之前需问上级。</t>
        </r>
      </text>
    </comment>
    <comment ref="B5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1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1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Q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3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Q3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4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4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5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5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6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6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7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7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8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8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9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9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<sst xmlns="http://schemas.openxmlformats.org/spreadsheetml/2006/main" count="616" uniqueCount="123">
  <si>
    <t>2026年XX资金收支季度报表</t>
  </si>
  <si>
    <t>项目</t>
  </si>
  <si>
    <t>年度合计</t>
  </si>
  <si>
    <t>Q1</t>
  </si>
  <si>
    <t>Q2</t>
  </si>
  <si>
    <t>Q3</t>
  </si>
  <si>
    <t>Q4</t>
  </si>
  <si>
    <t>占比</t>
  </si>
  <si>
    <t>期初数：</t>
  </si>
  <si>
    <r>
      <rPr>
        <b/>
        <sz val="10"/>
        <rFont val="Arial"/>
        <family val="2"/>
      </rPr>
      <t>1</t>
    </r>
    <r>
      <rPr>
        <b/>
        <sz val="10"/>
        <rFont val="宋体"/>
        <family val="3"/>
        <charset val="134"/>
      </rPr>
      <t>、主营收入：</t>
    </r>
  </si>
  <si>
    <t>产品收入</t>
  </si>
  <si>
    <t>服务收入</t>
  </si>
  <si>
    <t>其他收入</t>
  </si>
  <si>
    <t>2、股东投入：</t>
  </si>
  <si>
    <t>本 期 收 入 合 计：</t>
  </si>
  <si>
    <t>本 期 支 出 合 计：</t>
  </si>
  <si>
    <t>1、主营业务支出</t>
  </si>
  <si>
    <t>商品采购</t>
  </si>
  <si>
    <t>运费</t>
  </si>
  <si>
    <t>服务费</t>
  </si>
  <si>
    <t>返点佣金</t>
  </si>
  <si>
    <t>2、研发费用</t>
  </si>
  <si>
    <t>人工成本</t>
  </si>
  <si>
    <t>材料设备</t>
  </si>
  <si>
    <t>委外</t>
  </si>
  <si>
    <t>3、销售费用</t>
  </si>
  <si>
    <t>飞机、动车等</t>
  </si>
  <si>
    <t>住宿费</t>
  </si>
  <si>
    <t>车辆费</t>
  </si>
  <si>
    <t>市内交通</t>
  </si>
  <si>
    <t>招待/公关</t>
  </si>
  <si>
    <t>经销返点</t>
  </si>
  <si>
    <t>其他</t>
  </si>
  <si>
    <t>4、管理费用</t>
  </si>
  <si>
    <t>办公费</t>
  </si>
  <si>
    <t>办公租金&amp;物业费&amp;水电费</t>
  </si>
  <si>
    <t>人员薪资</t>
  </si>
  <si>
    <t>社保&amp;公积金</t>
  </si>
  <si>
    <t>员工福利</t>
  </si>
  <si>
    <t>5、财务费用</t>
  </si>
  <si>
    <t>手续费</t>
  </si>
  <si>
    <t>结息</t>
  </si>
  <si>
    <t>贷款利息</t>
  </si>
  <si>
    <t>6、固定资产</t>
  </si>
  <si>
    <t>办公设备</t>
  </si>
  <si>
    <t>办公家具   (包含车等）</t>
  </si>
  <si>
    <t>7、预付/暂支款</t>
  </si>
  <si>
    <t>预付</t>
  </si>
  <si>
    <t>归还</t>
  </si>
  <si>
    <t>8、营业外支出</t>
  </si>
  <si>
    <t>9、税金支出</t>
  </si>
  <si>
    <t>增值税及附加</t>
  </si>
  <si>
    <t>所得税</t>
  </si>
  <si>
    <t>印花税</t>
  </si>
  <si>
    <t>代扣代缴个税</t>
  </si>
  <si>
    <t>10、集团划拨往来</t>
  </si>
  <si>
    <t>本月资金净流入</t>
  </si>
  <si>
    <t xml:space="preserve">本月资金余额                                          </t>
  </si>
  <si>
    <t>总收入：</t>
  </si>
  <si>
    <t>总支出：</t>
  </si>
  <si>
    <t>净流入：</t>
  </si>
  <si>
    <t>收支占比</t>
  </si>
  <si>
    <t>收 入 合 计：</t>
  </si>
  <si>
    <t>支 出 合 计：</t>
  </si>
  <si>
    <t xml:space="preserve">期末余额                                          </t>
  </si>
  <si>
    <t>行号</t>
  </si>
  <si>
    <t>交易时间</t>
  </si>
  <si>
    <t>研发费用</t>
  </si>
  <si>
    <t>销售费用</t>
  </si>
  <si>
    <t>管理费用</t>
  </si>
  <si>
    <t>财务费用</t>
  </si>
  <si>
    <t>应缴税金</t>
  </si>
  <si>
    <t>固定资产</t>
  </si>
  <si>
    <t>主营业务支出</t>
  </si>
  <si>
    <t>日常支出和</t>
  </si>
  <si>
    <t>集团往来</t>
  </si>
  <si>
    <t>理财</t>
  </si>
  <si>
    <t>暂支/预付</t>
  </si>
  <si>
    <t>投资款</t>
  </si>
  <si>
    <t>收入</t>
  </si>
  <si>
    <t>余额</t>
  </si>
  <si>
    <t>客户/供应商</t>
  </si>
  <si>
    <t>部门</t>
  </si>
  <si>
    <t>摘要</t>
  </si>
  <si>
    <t>有形资产</t>
  </si>
  <si>
    <t>营业外支出</t>
  </si>
  <si>
    <t>工资个税</t>
  </si>
  <si>
    <t>劳务个税</t>
  </si>
  <si>
    <t>违约金</t>
  </si>
  <si>
    <t>罚款</t>
  </si>
  <si>
    <t>期初余额</t>
  </si>
  <si>
    <t>←返回</t>
  </si>
  <si>
    <t>账号名称</t>
  </si>
  <si>
    <t>银行码</t>
  </si>
  <si>
    <t>银行账号</t>
  </si>
  <si>
    <t>合计</t>
  </si>
  <si>
    <t>理财产品期初金额</t>
  </si>
  <si>
    <t>理财产品期末余额</t>
  </si>
  <si>
    <t>提现</t>
  </si>
  <si>
    <t>押金/暂支款</t>
  </si>
  <si>
    <t>常年咨询服务</t>
  </si>
  <si>
    <t>涉税专项服务</t>
  </si>
  <si>
    <t>财税外包服务</t>
  </si>
  <si>
    <t>企业培训服务</t>
  </si>
  <si>
    <t>推广费</t>
  </si>
  <si>
    <t>佣金</t>
  </si>
  <si>
    <t>劳务费</t>
  </si>
  <si>
    <t>分成</t>
  </si>
  <si>
    <t>市场宣传</t>
  </si>
  <si>
    <t>市场辅料</t>
  </si>
  <si>
    <t>办公用品&amp;办公费</t>
  </si>
  <si>
    <t>办公租金&amp;物业费</t>
  </si>
  <si>
    <t>交通费</t>
  </si>
  <si>
    <t>招待费</t>
  </si>
  <si>
    <t>利息</t>
  </si>
  <si>
    <t>XX期初余额</t>
  </si>
  <si>
    <r>
      <rPr>
        <sz val="9"/>
        <rFont val="微软雅黑 Light"/>
        <family val="2"/>
        <charset val="134"/>
      </rPr>
      <t>SPD-5465-理财产品</t>
    </r>
    <r>
      <rPr>
        <sz val="9"/>
        <color rgb="FFFF0000"/>
        <rFont val="微软雅黑 Light"/>
        <family val="2"/>
        <charset val="134"/>
      </rPr>
      <t>期初余额</t>
    </r>
  </si>
  <si>
    <t>SFD-5465-理财产品小计</t>
  </si>
  <si>
    <t>飞机动车等</t>
    <phoneticPr fontId="46" type="noConversion"/>
  </si>
  <si>
    <t>招待公关</t>
    <phoneticPr fontId="46" type="noConversion"/>
  </si>
  <si>
    <t>办公租金物业费水电费</t>
    <phoneticPr fontId="46" type="noConversion"/>
  </si>
  <si>
    <t>社保公积金</t>
    <phoneticPr fontId="46" type="noConversion"/>
  </si>
  <si>
    <t>办公家具包含车</t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</si>
</sst>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[$-F800]dddd\,\ mmmm\ dd\,\ yyyy"/>
    <numFmt numFmtId="177" formatCode="#,##0.00_ ;[Red]\-#,##0.00\ "/>
    <numFmt numFmtId="178" formatCode="#,##0.00_);[Red]\(#,##0.00\)"/>
    <numFmt numFmtId="179" formatCode="#,##0.00_ "/>
    <numFmt numFmtId="180" formatCode="0.00_);[Red]\(0.00\)"/>
    <numFmt numFmtId="181" formatCode="yyyy/m/d;@"/>
  </numFmts>
  <fonts count="53">
    <font>
      <sz val="12"/>
      <name val="宋体"/>
      <charset val="134"/>
    </font>
    <font>
      <b/>
      <sz val="8"/>
      <name val="微软雅黑 Light"/>
      <family val="2"/>
      <charset val="134"/>
    </font>
    <font>
      <sz val="8"/>
      <name val="微软雅黑 Light"/>
      <family val="2"/>
      <charset val="134"/>
    </font>
    <font>
      <sz val="9"/>
      <name val="微软雅黑 Light"/>
      <family val="2"/>
      <charset val="134"/>
    </font>
    <font>
      <sz val="12"/>
      <name val="微软雅黑 Light"/>
      <family val="2"/>
      <charset val="134"/>
    </font>
    <font>
      <u/>
      <sz val="12"/>
      <color rgb="FF800080"/>
      <name val="微软雅黑 Light"/>
      <family val="2"/>
      <charset val="134"/>
    </font>
    <font>
      <sz val="10"/>
      <name val="微软雅黑 Light"/>
      <family val="2"/>
      <charset val="134"/>
    </font>
    <font>
      <sz val="7"/>
      <name val="微软雅黑 Light"/>
      <family val="2"/>
      <charset val="134"/>
    </font>
    <font>
      <sz val="11"/>
      <name val="微软雅黑 Light"/>
      <family val="2"/>
      <charset val="134"/>
    </font>
    <font>
      <u/>
      <sz val="12"/>
      <color theme="10"/>
      <name val="微软雅黑 Light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name val="宋体"/>
      <family val="3"/>
      <charset val="134"/>
      <scheme val="minor"/>
    </font>
    <font>
      <sz val="8"/>
      <name val="宋体"/>
      <family val="3"/>
      <charset val="134"/>
    </font>
    <font>
      <u/>
      <sz val="12"/>
      <color rgb="FF800080"/>
      <name val="宋体"/>
      <family val="3"/>
      <charset val="134"/>
    </font>
    <font>
      <b/>
      <sz val="10"/>
      <color rgb="FF000000"/>
      <name val="Arial Light"/>
      <family val="2"/>
    </font>
    <font>
      <sz val="10"/>
      <color rgb="FF000000"/>
      <name val="Arial Light"/>
      <family val="2"/>
    </font>
    <font>
      <sz val="10"/>
      <name val="宋体"/>
      <family val="3"/>
      <charset val="134"/>
    </font>
    <font>
      <sz val="7"/>
      <name val="微软雅黑"/>
      <family val="2"/>
      <charset val="134"/>
    </font>
    <font>
      <sz val="8"/>
      <name val="Arial"/>
      <family val="2"/>
    </font>
    <font>
      <sz val="8"/>
      <name val="微软雅黑 "/>
      <charset val="134"/>
    </font>
    <font>
      <sz val="7"/>
      <name val="宋体"/>
      <family val="3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u/>
      <sz val="12"/>
      <color theme="10"/>
      <name val="宋体"/>
      <family val="3"/>
      <charset val="134"/>
    </font>
    <font>
      <sz val="11"/>
      <color theme="1" tint="0.249977111117893"/>
      <name val="微软雅黑"/>
      <family val="2"/>
      <charset val="134"/>
    </font>
    <font>
      <sz val="14"/>
      <color theme="1" tint="0.249977111117893"/>
      <name val="微软雅黑"/>
      <family val="2"/>
      <charset val="134"/>
    </font>
    <font>
      <sz val="26"/>
      <color theme="0"/>
      <name val="微软雅黑"/>
      <family val="2"/>
      <charset val="134"/>
    </font>
    <font>
      <sz val="8"/>
      <color theme="0"/>
      <name val="微软雅黑"/>
      <family val="2"/>
      <charset val="134"/>
    </font>
    <font>
      <sz val="8"/>
      <color theme="1" tint="0.249977111117893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b/>
      <sz val="18"/>
      <name val="微软雅黑"/>
      <family val="2"/>
      <charset val="134"/>
    </font>
    <font>
      <b/>
      <sz val="12"/>
      <name val="微软雅黑"/>
      <family val="2"/>
      <charset val="134"/>
    </font>
    <font>
      <b/>
      <sz val="14"/>
      <name val="微软雅黑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FF0000"/>
      <name val="微软雅黑 Light"/>
      <family val="2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u/>
      <sz val="12"/>
      <color theme="10"/>
      <name val="微软雅黑"/>
      <family val="2"/>
      <charset val="134"/>
    </font>
    <font>
      <b/>
      <sz val="8"/>
      <name val="微软雅黑"/>
      <family val="2"/>
    </font>
    <font>
      <sz val="8"/>
      <name val="微软雅黑"/>
      <family val="2"/>
    </font>
    <font>
      <sz val="7"/>
      <name val="微软雅黑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0C1E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E3F7F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7284C"/>
        <bgColor indexed="64"/>
      </patternFill>
    </fill>
  </fills>
  <borders count="12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medium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/>
      <diagonal/>
    </border>
    <border>
      <left style="medium">
        <color theme="5"/>
      </left>
      <right style="hair">
        <color theme="5" tint="0.39988402966399123"/>
      </right>
      <top style="thin">
        <color theme="5"/>
      </top>
      <bottom/>
      <diagonal/>
    </border>
    <border>
      <left style="hair">
        <color theme="5" tint="0.39988402966399123"/>
      </left>
      <right style="hair">
        <color theme="5" tint="0.39988402966399123"/>
      </right>
      <top style="thin">
        <color theme="5"/>
      </top>
      <bottom/>
      <diagonal/>
    </border>
    <border>
      <left style="hair">
        <color theme="5" tint="0.39988402966399123"/>
      </left>
      <right style="medium">
        <color theme="5"/>
      </right>
      <top style="thin">
        <color theme="5"/>
      </top>
      <bottom/>
      <diagonal/>
    </border>
    <border>
      <left style="medium">
        <color rgb="FFFF6C0D"/>
      </left>
      <right/>
      <top style="medium">
        <color rgb="FFFF6C0D"/>
      </top>
      <bottom style="medium">
        <color theme="5"/>
      </bottom>
      <diagonal/>
    </border>
    <border>
      <left/>
      <right/>
      <top style="medium">
        <color rgb="FFFF6C0D"/>
      </top>
      <bottom style="medium">
        <color theme="5"/>
      </bottom>
      <diagonal/>
    </border>
    <border>
      <left/>
      <right style="medium">
        <color rgb="FFFF6C0D"/>
      </right>
      <top style="medium">
        <color rgb="FFFF6C0D"/>
      </top>
      <bottom style="medium">
        <color theme="5"/>
      </bottom>
      <diagonal/>
    </border>
    <border>
      <left style="medium">
        <color rgb="FFFF6C0D"/>
      </left>
      <right/>
      <top style="medium">
        <color theme="5"/>
      </top>
      <bottom style="medium">
        <color rgb="FFFF6C0D"/>
      </bottom>
      <diagonal/>
    </border>
    <border>
      <left/>
      <right/>
      <top style="medium">
        <color theme="5"/>
      </top>
      <bottom style="medium">
        <color rgb="FFFF6C0D"/>
      </bottom>
      <diagonal/>
    </border>
    <border>
      <left/>
      <right style="medium">
        <color rgb="FFFF6C0D"/>
      </right>
      <top style="medium">
        <color theme="5"/>
      </top>
      <bottom style="medium">
        <color rgb="FFFF6C0D"/>
      </bottom>
      <diagonal/>
    </border>
    <border>
      <left style="thin">
        <color rgb="FFFF6C0D"/>
      </left>
      <right style="thin">
        <color rgb="FFFF6C0D"/>
      </right>
      <top style="thin">
        <color rgb="FFFF6C0D"/>
      </top>
      <bottom style="thin">
        <color rgb="FFFF6C0D"/>
      </bottom>
      <diagonal/>
    </border>
  </borders>
  <cellStyleXfs count="7">
    <xf numFmtId="0" fontId="0" fillId="0" borderId="0"/>
    <xf numFmtId="43" fontId="4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42" fillId="0" borderId="0">
      <alignment vertical="center"/>
    </xf>
    <xf numFmtId="0" fontId="48" fillId="0" borderId="0"/>
    <xf numFmtId="0" fontId="48" fillId="0" borderId="0">
      <alignment vertical="center"/>
    </xf>
  </cellStyleXfs>
  <cellXfs count="627">
    <xf numFmtId="0" fontId="0" fillId="0" borderId="0" xfId="0"/>
    <xf numFmtId="0" fontId="1" fillId="0" borderId="0" xfId="3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vertical="center" wrapText="1" shrinkToFit="1"/>
    </xf>
    <xf numFmtId="0" fontId="2" fillId="0" borderId="0" xfId="0" applyFont="1" applyAlignment="1">
      <alignment vertical="center" wrapText="1" shrinkToFit="1"/>
    </xf>
    <xf numFmtId="176" fontId="2" fillId="0" borderId="0" xfId="0" applyNumberFormat="1" applyFont="1" applyAlignment="1">
      <alignment vertical="center" wrapText="1" shrinkToFit="1"/>
    </xf>
    <xf numFmtId="43" fontId="4" fillId="0" borderId="0" xfId="1" applyFont="1" applyAlignment="1">
      <alignment vertical="center" wrapText="1" shrinkToFit="1"/>
    </xf>
    <xf numFmtId="0" fontId="4" fillId="0" borderId="0" xfId="0" applyFont="1" applyAlignment="1">
      <alignment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vertical="center" shrinkToFit="1"/>
    </xf>
    <xf numFmtId="0" fontId="5" fillId="0" borderId="0" xfId="2" applyFont="1" applyFill="1" applyAlignment="1" applyProtection="1">
      <alignment vertical="center" wrapText="1" shrinkToFit="1"/>
    </xf>
    <xf numFmtId="43" fontId="6" fillId="0" borderId="0" xfId="0" applyNumberFormat="1" applyFont="1" applyAlignment="1">
      <alignment vertical="center" wrapText="1" shrinkToFit="1"/>
    </xf>
    <xf numFmtId="43" fontId="1" fillId="0" borderId="0" xfId="1" applyFont="1" applyAlignment="1">
      <alignment horizontal="center" vertical="center" wrapText="1" shrinkToFit="1"/>
    </xf>
    <xf numFmtId="43" fontId="2" fillId="2" borderId="18" xfId="5" applyNumberFormat="1" applyFont="1" applyFill="1" applyBorder="1" applyAlignment="1">
      <alignment horizontal="center" vertical="center" wrapText="1"/>
    </xf>
    <xf numFmtId="178" fontId="2" fillId="2" borderId="19" xfId="0" applyNumberFormat="1" applyFont="1" applyFill="1" applyBorder="1" applyAlignment="1">
      <alignment horizontal="center" vertical="center" wrapText="1" shrinkToFit="1"/>
    </xf>
    <xf numFmtId="43" fontId="2" fillId="8" borderId="14" xfId="5" applyNumberFormat="1" applyFont="1" applyFill="1" applyBorder="1" applyAlignment="1">
      <alignment horizontal="center" vertical="center" wrapText="1" shrinkToFit="1"/>
    </xf>
    <xf numFmtId="43" fontId="2" fillId="8" borderId="21" xfId="5" applyNumberFormat="1" applyFont="1" applyFill="1" applyBorder="1" applyAlignment="1">
      <alignment horizontal="center" vertical="center" wrapText="1" shrinkToFit="1"/>
    </xf>
    <xf numFmtId="43" fontId="2" fillId="8" borderId="15" xfId="5" applyNumberFormat="1" applyFont="1" applyFill="1" applyBorder="1" applyAlignment="1">
      <alignment horizontal="center" vertical="center" wrapText="1" shrinkToFit="1"/>
    </xf>
    <xf numFmtId="43" fontId="2" fillId="8" borderId="22" xfId="5" applyNumberFormat="1" applyFont="1" applyFill="1" applyBorder="1" applyAlignment="1">
      <alignment horizontal="center" vertical="center" wrapText="1" shrinkToFit="1"/>
    </xf>
    <xf numFmtId="43" fontId="2" fillId="3" borderId="15" xfId="0" applyNumberFormat="1" applyFont="1" applyFill="1" applyBorder="1" applyAlignment="1">
      <alignment horizontal="center" vertical="center" wrapText="1"/>
    </xf>
    <xf numFmtId="43" fontId="2" fillId="3" borderId="23" xfId="0" applyNumberFormat="1" applyFont="1" applyFill="1" applyBorder="1" applyAlignment="1">
      <alignment horizontal="center" vertical="center" wrapText="1"/>
    </xf>
    <xf numFmtId="43" fontId="2" fillId="4" borderId="12" xfId="0" applyNumberFormat="1" applyFont="1" applyFill="1" applyBorder="1" applyAlignment="1">
      <alignment horizontal="center" vertical="center" wrapText="1" shrinkToFit="1"/>
    </xf>
    <xf numFmtId="43" fontId="2" fillId="4" borderId="15" xfId="0" applyNumberFormat="1" applyFont="1" applyFill="1" applyBorder="1" applyAlignment="1">
      <alignment horizontal="center" vertical="center" wrapText="1" shrinkToFit="1"/>
    </xf>
    <xf numFmtId="43" fontId="2" fillId="4" borderId="22" xfId="0" applyNumberFormat="1" applyFont="1" applyFill="1" applyBorder="1" applyAlignment="1">
      <alignment horizontal="center" vertical="center" wrapText="1" shrinkToFit="1"/>
    </xf>
    <xf numFmtId="43" fontId="7" fillId="5" borderId="21" xfId="0" applyNumberFormat="1" applyFont="1" applyFill="1" applyBorder="1" applyAlignment="1">
      <alignment horizontal="center" vertical="center" wrapText="1" shrinkToFit="1"/>
    </xf>
    <xf numFmtId="0" fontId="7" fillId="5" borderId="23" xfId="0" applyFont="1" applyFill="1" applyBorder="1" applyAlignment="1">
      <alignment horizontal="center" vertical="center" wrapText="1" shrinkToFit="1"/>
    </xf>
    <xf numFmtId="43" fontId="7" fillId="6" borderId="12" xfId="0" applyNumberFormat="1" applyFont="1" applyFill="1" applyBorder="1" applyAlignment="1">
      <alignment horizontal="center" vertical="center" wrapText="1" shrinkToFit="1"/>
    </xf>
    <xf numFmtId="43" fontId="7" fillId="6" borderId="15" xfId="0" applyNumberFormat="1" applyFont="1" applyFill="1" applyBorder="1" applyAlignment="1">
      <alignment horizontal="center" vertical="center" wrapText="1" shrinkToFit="1"/>
    </xf>
    <xf numFmtId="43" fontId="7" fillId="6" borderId="22" xfId="0" applyNumberFormat="1" applyFont="1" applyFill="1" applyBorder="1" applyAlignment="1">
      <alignment horizontal="center" vertical="center" wrapText="1" shrinkToFit="1"/>
    </xf>
    <xf numFmtId="43" fontId="7" fillId="7" borderId="21" xfId="0" applyNumberFormat="1" applyFont="1" applyFill="1" applyBorder="1" applyAlignment="1">
      <alignment horizontal="center" vertical="center" wrapText="1" shrinkToFit="1"/>
    </xf>
    <xf numFmtId="43" fontId="7" fillId="7" borderId="15" xfId="0" applyNumberFormat="1" applyFont="1" applyFill="1" applyBorder="1" applyAlignment="1">
      <alignment horizontal="center" vertical="center" wrapText="1" shrinkToFit="1"/>
    </xf>
    <xf numFmtId="43" fontId="7" fillId="7" borderId="22" xfId="0" applyNumberFormat="1" applyFont="1" applyFill="1" applyBorder="1" applyAlignment="1">
      <alignment horizontal="center" vertical="center" wrapText="1" shrinkToFit="1"/>
    </xf>
    <xf numFmtId="43" fontId="2" fillId="0" borderId="0" xfId="1" applyFont="1" applyAlignment="1">
      <alignment horizontal="center" vertical="center" wrapText="1" shrinkToFit="1"/>
    </xf>
    <xf numFmtId="43" fontId="3" fillId="9" borderId="25" xfId="1" applyFont="1" applyFill="1" applyBorder="1" applyAlignment="1">
      <alignment vertical="center" wrapText="1" shrinkToFit="1"/>
    </xf>
    <xf numFmtId="0" fontId="3" fillId="9" borderId="25" xfId="0" applyFont="1" applyFill="1" applyBorder="1" applyAlignment="1">
      <alignment vertical="center" wrapText="1" shrinkToFit="1"/>
    </xf>
    <xf numFmtId="0" fontId="6" fillId="9" borderId="25" xfId="0" applyFont="1" applyFill="1" applyBorder="1" applyAlignment="1">
      <alignment vertical="center" wrapText="1" shrinkToFit="1"/>
    </xf>
    <xf numFmtId="0" fontId="3" fillId="9" borderId="25" xfId="0" applyFont="1" applyFill="1" applyBorder="1" applyAlignment="1">
      <alignment horizontal="center" vertical="center" wrapText="1" shrinkToFit="1"/>
    </xf>
    <xf numFmtId="0" fontId="3" fillId="9" borderId="26" xfId="0" applyFont="1" applyFill="1" applyBorder="1" applyAlignment="1">
      <alignment vertical="center" wrapText="1" shrinkToFit="1"/>
    </xf>
    <xf numFmtId="43" fontId="3" fillId="0" borderId="0" xfId="1" applyFont="1" applyAlignment="1">
      <alignment vertical="center" wrapText="1" shrinkToFit="1"/>
    </xf>
    <xf numFmtId="0" fontId="2" fillId="0" borderId="27" xfId="3" applyFont="1" applyBorder="1" applyAlignment="1">
      <alignment horizontal="right" vertical="center" wrapText="1" shrinkToFit="1"/>
    </xf>
    <xf numFmtId="14" fontId="2" fillId="0" borderId="28" xfId="3" applyNumberFormat="1" applyFont="1" applyBorder="1" applyAlignment="1">
      <alignment horizontal="right" vertical="center" shrinkToFit="1"/>
    </xf>
    <xf numFmtId="43" fontId="2" fillId="0" borderId="29" xfId="1" applyFont="1" applyBorder="1" applyAlignment="1">
      <alignment vertical="center" wrapText="1" shrinkToFit="1"/>
    </xf>
    <xf numFmtId="43" fontId="2" fillId="0" borderId="30" xfId="1" applyFont="1" applyBorder="1" applyAlignment="1">
      <alignment vertical="center" wrapText="1" shrinkToFit="1"/>
    </xf>
    <xf numFmtId="43" fontId="3" fillId="9" borderId="31" xfId="1" applyFont="1" applyFill="1" applyBorder="1" applyAlignment="1">
      <alignment vertical="center" wrapText="1" shrinkToFit="1"/>
    </xf>
    <xf numFmtId="43" fontId="2" fillId="0" borderId="32" xfId="1" applyFont="1" applyBorder="1" applyAlignment="1">
      <alignment vertical="center" wrapText="1" shrinkToFit="1"/>
    </xf>
    <xf numFmtId="43" fontId="2" fillId="0" borderId="33" xfId="1" applyFont="1" applyBorder="1" applyAlignment="1">
      <alignment vertical="center" wrapText="1" shrinkToFit="1"/>
    </xf>
    <xf numFmtId="43" fontId="2" fillId="0" borderId="34" xfId="1" applyFont="1" applyBorder="1" applyAlignment="1">
      <alignment vertical="center" wrapText="1" shrinkToFit="1"/>
    </xf>
    <xf numFmtId="43" fontId="2" fillId="0" borderId="35" xfId="1" applyFont="1" applyBorder="1" applyAlignment="1">
      <alignment vertical="center" wrapText="1" shrinkToFit="1"/>
    </xf>
    <xf numFmtId="43" fontId="2" fillId="0" borderId="30" xfId="1" applyFont="1" applyBorder="1" applyAlignment="1">
      <alignment horizontal="center" vertical="center" wrapText="1" shrinkToFit="1"/>
    </xf>
    <xf numFmtId="43" fontId="2" fillId="0" borderId="36" xfId="1" applyFont="1" applyBorder="1" applyAlignment="1">
      <alignment vertical="center" wrapText="1" shrinkToFit="1"/>
    </xf>
    <xf numFmtId="43" fontId="3" fillId="9" borderId="33" xfId="1" applyFont="1" applyFill="1" applyBorder="1" applyAlignment="1">
      <alignment vertical="center" wrapText="1" shrinkToFit="1"/>
    </xf>
    <xf numFmtId="0" fontId="8" fillId="0" borderId="37" xfId="5" applyFont="1" applyBorder="1" applyAlignment="1">
      <alignment horizontal="center" vertical="center" shrinkToFit="1"/>
    </xf>
    <xf numFmtId="43" fontId="2" fillId="0" borderId="38" xfId="1" applyFont="1" applyBorder="1" applyAlignment="1">
      <alignment horizontal="center" vertical="center" wrapText="1" shrinkToFit="1"/>
    </xf>
    <xf numFmtId="180" fontId="2" fillId="0" borderId="39" xfId="3" applyNumberFormat="1" applyFont="1" applyBorder="1" applyAlignment="1">
      <alignment horizontal="center" vertical="center" shrinkToFit="1"/>
    </xf>
    <xf numFmtId="43" fontId="7" fillId="0" borderId="40" xfId="1" applyFont="1" applyFill="1" applyBorder="1" applyAlignment="1">
      <alignment vertical="center" wrapText="1" shrinkToFit="1"/>
    </xf>
    <xf numFmtId="43" fontId="7" fillId="0" borderId="29" xfId="1" applyFont="1" applyFill="1" applyBorder="1" applyAlignment="1">
      <alignment vertical="center" wrapText="1" shrinkToFit="1"/>
    </xf>
    <xf numFmtId="43" fontId="7" fillId="0" borderId="30" xfId="1" applyFont="1" applyFill="1" applyBorder="1" applyAlignment="1">
      <alignment vertical="center" wrapText="1" shrinkToFit="1"/>
    </xf>
    <xf numFmtId="43" fontId="7" fillId="0" borderId="30" xfId="1" applyFont="1" applyFill="1" applyBorder="1" applyAlignment="1">
      <alignment horizontal="center" vertical="center" wrapText="1" shrinkToFit="1"/>
    </xf>
    <xf numFmtId="43" fontId="7" fillId="0" borderId="41" xfId="1" applyFont="1" applyFill="1" applyBorder="1" applyAlignment="1">
      <alignment vertical="center" wrapText="1" shrinkToFit="1"/>
    </xf>
    <xf numFmtId="43" fontId="7" fillId="0" borderId="42" xfId="1" applyFont="1" applyFill="1" applyBorder="1" applyAlignment="1">
      <alignment vertical="center" wrapText="1" shrinkToFit="1"/>
    </xf>
    <xf numFmtId="43" fontId="7" fillId="0" borderId="27" xfId="1" applyFont="1" applyFill="1" applyBorder="1" applyAlignment="1">
      <alignment vertical="center" wrapText="1" shrinkToFit="1"/>
    </xf>
    <xf numFmtId="0" fontId="2" fillId="0" borderId="43" xfId="3" applyFont="1" applyBorder="1" applyAlignment="1">
      <alignment horizontal="right" vertical="center" wrapText="1" shrinkToFit="1"/>
    </xf>
    <xf numFmtId="43" fontId="2" fillId="0" borderId="44" xfId="1" applyFont="1" applyBorder="1" applyAlignment="1">
      <alignment vertical="center" wrapText="1" shrinkToFit="1"/>
    </xf>
    <xf numFmtId="43" fontId="2" fillId="0" borderId="45" xfId="1" applyFont="1" applyBorder="1" applyAlignment="1">
      <alignment vertical="center" wrapText="1" shrinkToFit="1"/>
    </xf>
    <xf numFmtId="43" fontId="3" fillId="9" borderId="46" xfId="1" applyFont="1" applyFill="1" applyBorder="1" applyAlignment="1">
      <alignment vertical="center" wrapText="1" shrinkToFit="1"/>
    </xf>
    <xf numFmtId="43" fontId="2" fillId="0" borderId="47" xfId="1" applyFont="1" applyBorder="1" applyAlignment="1">
      <alignment vertical="center" wrapText="1" shrinkToFit="1"/>
    </xf>
    <xf numFmtId="178" fontId="2" fillId="0" borderId="48" xfId="1" applyNumberFormat="1" applyFont="1" applyBorder="1" applyAlignment="1">
      <alignment vertical="center" wrapText="1" shrinkToFit="1"/>
    </xf>
    <xf numFmtId="43" fontId="2" fillId="0" borderId="49" xfId="1" applyFont="1" applyBorder="1" applyAlignment="1">
      <alignment vertical="center" wrapText="1" shrinkToFit="1"/>
    </xf>
    <xf numFmtId="43" fontId="2" fillId="0" borderId="50" xfId="1" applyFont="1" applyBorder="1" applyAlignment="1">
      <alignment vertical="center" wrapText="1" shrinkToFit="1"/>
    </xf>
    <xf numFmtId="43" fontId="2" fillId="0" borderId="45" xfId="1" applyFont="1" applyBorder="1" applyAlignment="1">
      <alignment horizontal="center" vertical="center" wrapText="1" shrinkToFit="1"/>
    </xf>
    <xf numFmtId="43" fontId="2" fillId="0" borderId="28" xfId="1" applyFont="1" applyBorder="1" applyAlignment="1">
      <alignment vertical="center" wrapText="1" shrinkToFit="1"/>
    </xf>
    <xf numFmtId="0" fontId="8" fillId="0" borderId="51" xfId="5" applyFont="1" applyBorder="1" applyAlignment="1">
      <alignment horizontal="center" vertical="center" shrinkToFit="1"/>
    </xf>
    <xf numFmtId="0" fontId="2" fillId="0" borderId="46" xfId="5" applyFont="1" applyBorder="1" applyAlignment="1">
      <alignment horizontal="center" vertical="center" shrinkToFit="1"/>
    </xf>
    <xf numFmtId="43" fontId="7" fillId="0" borderId="51" xfId="1" applyFont="1" applyFill="1" applyBorder="1" applyAlignment="1">
      <alignment vertical="center" wrapText="1" shrinkToFit="1"/>
    </xf>
    <xf numFmtId="43" fontId="7" fillId="0" borderId="44" xfId="1" applyFont="1" applyFill="1" applyBorder="1" applyAlignment="1">
      <alignment vertical="center" wrapText="1" shrinkToFit="1"/>
    </xf>
    <xf numFmtId="43" fontId="7" fillId="0" borderId="45" xfId="1" applyFont="1" applyFill="1" applyBorder="1" applyAlignment="1">
      <alignment vertical="center" wrapText="1" shrinkToFit="1"/>
    </xf>
    <xf numFmtId="43" fontId="7" fillId="0" borderId="45" xfId="1" applyFont="1" applyFill="1" applyBorder="1" applyAlignment="1">
      <alignment horizontal="center" vertical="center" wrapText="1" shrinkToFit="1"/>
    </xf>
    <xf numFmtId="43" fontId="7" fillId="0" borderId="52" xfId="1" applyFont="1" applyFill="1" applyBorder="1" applyAlignment="1">
      <alignment vertical="center" wrapText="1" shrinkToFit="1"/>
    </xf>
    <xf numFmtId="43" fontId="7" fillId="0" borderId="53" xfId="1" applyFont="1" applyFill="1" applyBorder="1" applyAlignment="1">
      <alignment vertical="center" wrapText="1" shrinkToFit="1"/>
    </xf>
    <xf numFmtId="43" fontId="7" fillId="0" borderId="43" xfId="1" applyFont="1" applyFill="1" applyBorder="1" applyAlignment="1">
      <alignment vertical="center" wrapText="1" shrinkToFit="1"/>
    </xf>
    <xf numFmtId="178" fontId="2" fillId="0" borderId="48" xfId="1" applyNumberFormat="1" applyFont="1" applyFill="1" applyBorder="1" applyAlignment="1">
      <alignment vertical="center" wrapText="1" shrinkToFit="1"/>
    </xf>
    <xf numFmtId="180" fontId="2" fillId="0" borderId="46" xfId="3" applyNumberFormat="1" applyFont="1" applyBorder="1" applyAlignment="1">
      <alignment horizontal="center" vertical="center" shrinkToFit="1"/>
    </xf>
    <xf numFmtId="0" fontId="7" fillId="0" borderId="51" xfId="0" applyFont="1" applyBorder="1"/>
    <xf numFmtId="43" fontId="2" fillId="0" borderId="48" xfId="1" applyFont="1" applyBorder="1" applyAlignment="1">
      <alignment vertical="center" wrapText="1" shrinkToFit="1"/>
    </xf>
    <xf numFmtId="178" fontId="7" fillId="0" borderId="45" xfId="1" applyNumberFormat="1" applyFont="1" applyFill="1" applyBorder="1" applyAlignment="1">
      <alignment horizontal="left" vertical="center" wrapText="1" shrinkToFit="1"/>
    </xf>
    <xf numFmtId="180" fontId="2" fillId="0" borderId="45" xfId="3" applyNumberFormat="1" applyFont="1" applyBorder="1" applyAlignment="1">
      <alignment horizontal="center" vertical="center" shrinkToFit="1"/>
    </xf>
    <xf numFmtId="0" fontId="2" fillId="0" borderId="45" xfId="5" applyFont="1" applyBorder="1" applyAlignment="1">
      <alignment horizontal="center" vertical="center" shrinkToFit="1"/>
    </xf>
    <xf numFmtId="43" fontId="7" fillId="0" borderId="51" xfId="1" applyFont="1" applyFill="1" applyBorder="1" applyAlignment="1">
      <alignment vertical="center" shrinkToFit="1"/>
    </xf>
    <xf numFmtId="43" fontId="7" fillId="0" borderId="44" xfId="1" applyFont="1" applyFill="1" applyBorder="1" applyAlignment="1">
      <alignment vertical="center" shrinkToFit="1"/>
    </xf>
    <xf numFmtId="43" fontId="7" fillId="0" borderId="45" xfId="1" applyFont="1" applyFill="1" applyBorder="1" applyAlignment="1">
      <alignment vertical="center" shrinkToFit="1"/>
    </xf>
    <xf numFmtId="43" fontId="7" fillId="0" borderId="53" xfId="1" applyFont="1" applyFill="1" applyBorder="1" applyAlignment="1">
      <alignment vertical="center" shrinkToFit="1"/>
    </xf>
    <xf numFmtId="178" fontId="2" fillId="0" borderId="47" xfId="1" applyNumberFormat="1" applyFont="1" applyBorder="1" applyAlignment="1">
      <alignment vertical="center" wrapText="1" shrinkToFit="1"/>
    </xf>
    <xf numFmtId="0" fontId="2" fillId="0" borderId="51" xfId="3" applyFont="1" applyBorder="1" applyAlignment="1">
      <alignment horizontal="right" vertical="center" shrinkToFit="1"/>
    </xf>
    <xf numFmtId="43" fontId="2" fillId="0" borderId="46" xfId="1" applyFont="1" applyFill="1" applyBorder="1" applyAlignment="1">
      <alignment horizontal="center" vertical="center" wrapText="1" shrinkToFit="1"/>
    </xf>
    <xf numFmtId="178" fontId="2" fillId="0" borderId="45" xfId="3" applyNumberFormat="1" applyFont="1" applyBorder="1" applyAlignment="1">
      <alignment horizontal="center" vertical="center" shrinkToFit="1"/>
    </xf>
    <xf numFmtId="43" fontId="7" fillId="0" borderId="45" xfId="1" applyFont="1" applyFill="1" applyBorder="1" applyAlignment="1">
      <alignment horizontal="left" vertical="center" wrapText="1" shrinkToFit="1"/>
    </xf>
    <xf numFmtId="43" fontId="7" fillId="0" borderId="44" xfId="1" applyFont="1" applyFill="1" applyBorder="1" applyAlignment="1">
      <alignment horizontal="center" vertical="center" wrapText="1" shrinkToFit="1"/>
    </xf>
    <xf numFmtId="43" fontId="2" fillId="0" borderId="44" xfId="1" applyFont="1" applyFill="1" applyBorder="1" applyAlignment="1">
      <alignment vertical="center" wrapText="1" shrinkToFit="1"/>
    </xf>
    <xf numFmtId="43" fontId="2" fillId="0" borderId="45" xfId="1" applyFont="1" applyFill="1" applyBorder="1" applyAlignment="1">
      <alignment vertical="center" wrapText="1" shrinkToFit="1"/>
    </xf>
    <xf numFmtId="43" fontId="2" fillId="0" borderId="47" xfId="1" applyFont="1" applyFill="1" applyBorder="1" applyAlignment="1">
      <alignment vertical="center" wrapText="1" shrinkToFit="1"/>
    </xf>
    <xf numFmtId="43" fontId="2" fillId="0" borderId="48" xfId="1" applyFont="1" applyFill="1" applyBorder="1" applyAlignment="1">
      <alignment vertical="center" wrapText="1" shrinkToFit="1"/>
    </xf>
    <xf numFmtId="43" fontId="2" fillId="0" borderId="49" xfId="1" applyFont="1" applyFill="1" applyBorder="1" applyAlignment="1">
      <alignment vertical="center" wrapText="1" shrinkToFit="1"/>
    </xf>
    <xf numFmtId="43" fontId="2" fillId="0" borderId="50" xfId="1" applyFont="1" applyFill="1" applyBorder="1" applyAlignment="1">
      <alignment vertical="center" wrapText="1" shrinkToFit="1"/>
    </xf>
    <xf numFmtId="43" fontId="2" fillId="0" borderId="28" xfId="1" applyFont="1" applyFill="1" applyBorder="1" applyAlignment="1">
      <alignment vertical="center" wrapText="1" shrinkToFit="1"/>
    </xf>
    <xf numFmtId="43" fontId="4" fillId="0" borderId="0" xfId="1" applyFont="1" applyFill="1" applyAlignment="1">
      <alignment vertical="center" wrapText="1" shrinkToFit="1"/>
    </xf>
    <xf numFmtId="0" fontId="2" fillId="0" borderId="51" xfId="5" applyFont="1" applyBorder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178" fontId="7" fillId="0" borderId="45" xfId="1" applyNumberFormat="1" applyFont="1" applyFill="1" applyBorder="1" applyAlignment="1">
      <alignment horizontal="center" vertical="center" wrapText="1" shrinkToFit="1"/>
    </xf>
    <xf numFmtId="178" fontId="2" fillId="0" borderId="49" xfId="1" applyNumberFormat="1" applyFont="1" applyBorder="1" applyAlignment="1">
      <alignment vertical="center" wrapText="1" shrinkToFit="1"/>
    </xf>
    <xf numFmtId="178" fontId="2" fillId="0" borderId="51" xfId="3" applyNumberFormat="1" applyFont="1" applyBorder="1" applyAlignment="1">
      <alignment horizontal="center" vertical="center" shrinkToFit="1"/>
    </xf>
    <xf numFmtId="43" fontId="3" fillId="10" borderId="55" xfId="1" applyFont="1" applyFill="1" applyBorder="1" applyAlignment="1">
      <alignment vertical="center" wrapText="1" shrinkToFit="1"/>
    </xf>
    <xf numFmtId="43" fontId="3" fillId="10" borderId="55" xfId="1" applyFont="1" applyFill="1" applyBorder="1" applyAlignment="1">
      <alignment horizontal="center" vertical="center" wrapText="1" shrinkToFit="1"/>
    </xf>
    <xf numFmtId="43" fontId="3" fillId="9" borderId="55" xfId="1" applyFont="1" applyFill="1" applyBorder="1" applyAlignment="1">
      <alignment vertical="center" wrapText="1" shrinkToFit="1"/>
    </xf>
    <xf numFmtId="43" fontId="7" fillId="10" borderId="55" xfId="1" applyFont="1" applyFill="1" applyBorder="1" applyAlignment="1">
      <alignment vertical="center" wrapText="1" shrinkToFit="1"/>
    </xf>
    <xf numFmtId="43" fontId="7" fillId="10" borderId="55" xfId="1" applyFont="1" applyFill="1" applyBorder="1" applyAlignment="1">
      <alignment vertical="center" shrinkToFit="1"/>
    </xf>
    <xf numFmtId="43" fontId="7" fillId="10" borderId="56" xfId="1" applyFont="1" applyFill="1" applyBorder="1" applyAlignment="1">
      <alignment vertical="center" shrinkToFit="1"/>
    </xf>
    <xf numFmtId="43" fontId="3" fillId="9" borderId="57" xfId="3" applyNumberFormat="1" applyFont="1" applyFill="1" applyBorder="1" applyAlignment="1">
      <alignment vertical="center"/>
    </xf>
    <xf numFmtId="43" fontId="3" fillId="9" borderId="58" xfId="3" applyNumberFormat="1" applyFont="1" applyFill="1" applyBorder="1" applyAlignment="1">
      <alignment vertical="center" wrapText="1" shrinkToFit="1"/>
    </xf>
    <xf numFmtId="43" fontId="3" fillId="9" borderId="59" xfId="1" applyFont="1" applyFill="1" applyBorder="1" applyAlignment="1">
      <alignment vertical="center" wrapText="1" shrinkToFit="1"/>
    </xf>
    <xf numFmtId="43" fontId="3" fillId="9" borderId="38" xfId="1" applyFont="1" applyFill="1" applyBorder="1" applyAlignment="1">
      <alignment vertical="center" wrapText="1" shrinkToFit="1"/>
    </xf>
    <xf numFmtId="43" fontId="3" fillId="9" borderId="39" xfId="1" applyFont="1" applyFill="1" applyBorder="1" applyAlignment="1">
      <alignment vertical="center" wrapText="1" shrinkToFit="1"/>
    </xf>
    <xf numFmtId="43" fontId="3" fillId="9" borderId="60" xfId="1" applyFont="1" applyFill="1" applyBorder="1" applyAlignment="1">
      <alignment vertical="center" wrapText="1" shrinkToFit="1"/>
    </xf>
    <xf numFmtId="43" fontId="3" fillId="9" borderId="61" xfId="1" applyFont="1" applyFill="1" applyBorder="1" applyAlignment="1">
      <alignment vertical="center" wrapText="1" shrinkToFit="1"/>
    </xf>
    <xf numFmtId="43" fontId="3" fillId="9" borderId="62" xfId="1" applyFont="1" applyFill="1" applyBorder="1" applyAlignment="1">
      <alignment vertical="center" wrapText="1" shrinkToFit="1"/>
    </xf>
    <xf numFmtId="43" fontId="3" fillId="9" borderId="63" xfId="1" applyFont="1" applyFill="1" applyBorder="1" applyAlignment="1">
      <alignment vertical="center" wrapText="1" shrinkToFit="1"/>
    </xf>
    <xf numFmtId="43" fontId="3" fillId="9" borderId="38" xfId="1" applyFont="1" applyFill="1" applyBorder="1" applyAlignment="1">
      <alignment horizontal="center" vertical="center" wrapText="1" shrinkToFit="1"/>
    </xf>
    <xf numFmtId="43" fontId="3" fillId="9" borderId="58" xfId="1" applyFont="1" applyFill="1" applyBorder="1" applyAlignment="1">
      <alignment vertical="center" wrapText="1" shrinkToFit="1"/>
    </xf>
    <xf numFmtId="43" fontId="3" fillId="9" borderId="51" xfId="1" applyFont="1" applyFill="1" applyBorder="1" applyAlignment="1">
      <alignment vertical="center" wrapText="1" shrinkToFit="1"/>
    </xf>
    <xf numFmtId="43" fontId="3" fillId="9" borderId="45" xfId="1" applyFont="1" applyFill="1" applyBorder="1" applyAlignment="1">
      <alignment horizontal="center" vertical="center" wrapText="1" shrinkToFit="1"/>
    </xf>
    <xf numFmtId="43" fontId="3" fillId="9" borderId="46" xfId="1" applyFont="1" applyFill="1" applyBorder="1" applyAlignment="1">
      <alignment horizontal="center" vertical="center" wrapText="1" shrinkToFit="1"/>
    </xf>
    <xf numFmtId="43" fontId="7" fillId="9" borderId="37" xfId="1" applyFont="1" applyFill="1" applyBorder="1" applyAlignment="1">
      <alignment vertical="center" wrapText="1" shrinkToFit="1"/>
    </xf>
    <xf numFmtId="43" fontId="7" fillId="9" borderId="59" xfId="1" applyFont="1" applyFill="1" applyBorder="1" applyAlignment="1">
      <alignment vertical="center" wrapText="1" shrinkToFit="1"/>
    </xf>
    <xf numFmtId="43" fontId="7" fillId="9" borderId="38" xfId="1" applyFont="1" applyFill="1" applyBorder="1" applyAlignment="1">
      <alignment vertical="center" wrapText="1" shrinkToFit="1"/>
    </xf>
    <xf numFmtId="43" fontId="7" fillId="9" borderId="38" xfId="1" applyFont="1" applyFill="1" applyBorder="1" applyAlignment="1">
      <alignment horizontal="center" vertical="center" wrapText="1" shrinkToFit="1"/>
    </xf>
    <xf numFmtId="43" fontId="7" fillId="9" borderId="64" xfId="1" applyFont="1" applyFill="1" applyBorder="1" applyAlignment="1">
      <alignment vertical="center" wrapText="1" shrinkToFit="1"/>
    </xf>
    <xf numFmtId="43" fontId="7" fillId="9" borderId="39" xfId="1" applyFont="1" applyFill="1" applyBorder="1" applyAlignment="1">
      <alignment vertical="center" wrapText="1" shrinkToFit="1"/>
    </xf>
    <xf numFmtId="43" fontId="2" fillId="0" borderId="43" xfId="3" applyNumberFormat="1" applyFont="1" applyBorder="1" applyAlignment="1">
      <alignment horizontal="right" vertical="center" wrapText="1" shrinkToFit="1"/>
    </xf>
    <xf numFmtId="178" fontId="2" fillId="0" borderId="47" xfId="1" applyNumberFormat="1" applyFont="1" applyBorder="1" applyAlignment="1">
      <alignment vertical="top" wrapText="1" shrinkToFit="1"/>
    </xf>
    <xf numFmtId="43" fontId="2" fillId="0" borderId="51" xfId="1" applyFont="1" applyBorder="1" applyAlignment="1">
      <alignment vertical="center" wrapText="1" shrinkToFit="1"/>
    </xf>
    <xf numFmtId="43" fontId="7" fillId="0" borderId="51" xfId="1" applyFont="1" applyBorder="1" applyAlignment="1">
      <alignment vertical="center" wrapText="1" shrinkToFit="1"/>
    </xf>
    <xf numFmtId="43" fontId="7" fillId="0" borderId="44" xfId="1" applyFont="1" applyBorder="1" applyAlignment="1">
      <alignment vertical="center" wrapText="1" shrinkToFit="1"/>
    </xf>
    <xf numFmtId="43" fontId="7" fillId="0" borderId="45" xfId="1" applyFont="1" applyBorder="1" applyAlignment="1">
      <alignment vertical="center" wrapText="1" shrinkToFit="1"/>
    </xf>
    <xf numFmtId="43" fontId="7" fillId="0" borderId="45" xfId="1" applyFont="1" applyBorder="1" applyAlignment="1">
      <alignment horizontal="center" vertical="center" wrapText="1" shrinkToFit="1"/>
    </xf>
    <xf numFmtId="43" fontId="7" fillId="0" borderId="52" xfId="1" applyFont="1" applyBorder="1" applyAlignment="1">
      <alignment vertical="center" wrapText="1" shrinkToFit="1"/>
    </xf>
    <xf numFmtId="43" fontId="7" fillId="0" borderId="46" xfId="1" applyFont="1" applyBorder="1" applyAlignment="1">
      <alignment vertical="center" wrapText="1" shrinkToFit="1"/>
    </xf>
    <xf numFmtId="178" fontId="2" fillId="0" borderId="46" xfId="3" applyNumberFormat="1" applyFont="1" applyBorder="1" applyAlignment="1">
      <alignment horizontal="center" vertical="center" shrinkToFit="1"/>
    </xf>
    <xf numFmtId="43" fontId="2" fillId="0" borderId="65" xfId="1" applyFont="1" applyBorder="1" applyAlignment="1">
      <alignment vertical="center" wrapText="1" shrinkToFit="1"/>
    </xf>
    <xf numFmtId="43" fontId="2" fillId="0" borderId="66" xfId="1" applyFont="1" applyBorder="1" applyAlignment="1">
      <alignment vertical="center" wrapText="1" shrinkToFit="1"/>
    </xf>
    <xf numFmtId="43" fontId="3" fillId="9" borderId="67" xfId="1" applyFont="1" applyFill="1" applyBorder="1" applyAlignment="1">
      <alignment vertical="center" wrapText="1" shrinkToFit="1"/>
    </xf>
    <xf numFmtId="43" fontId="2" fillId="0" borderId="68" xfId="1" applyFont="1" applyBorder="1" applyAlignment="1">
      <alignment vertical="center" wrapText="1" shrinkToFit="1"/>
    </xf>
    <xf numFmtId="178" fontId="2" fillId="0" borderId="68" xfId="1" applyNumberFormat="1" applyFont="1" applyBorder="1" applyAlignment="1">
      <alignment vertical="top" wrapText="1" shrinkToFit="1"/>
    </xf>
    <xf numFmtId="43" fontId="2" fillId="0" borderId="69" xfId="1" applyFont="1" applyBorder="1" applyAlignment="1">
      <alignment vertical="center" wrapText="1" shrinkToFit="1"/>
    </xf>
    <xf numFmtId="43" fontId="2" fillId="0" borderId="70" xfId="1" applyFont="1" applyBorder="1" applyAlignment="1">
      <alignment vertical="center" wrapText="1" shrinkToFit="1"/>
    </xf>
    <xf numFmtId="43" fontId="2" fillId="0" borderId="71" xfId="1" applyFont="1" applyBorder="1" applyAlignment="1">
      <alignment vertical="center" wrapText="1" shrinkToFit="1"/>
    </xf>
    <xf numFmtId="43" fontId="2" fillId="0" borderId="66" xfId="1" applyFont="1" applyBorder="1" applyAlignment="1">
      <alignment horizontal="center" vertical="center" wrapText="1" shrinkToFit="1"/>
    </xf>
    <xf numFmtId="43" fontId="2" fillId="0" borderId="72" xfId="1" applyFont="1" applyBorder="1" applyAlignment="1">
      <alignment vertical="center" wrapText="1" shrinkToFit="1"/>
    </xf>
    <xf numFmtId="43" fontId="7" fillId="0" borderId="73" xfId="1" applyFont="1" applyBorder="1" applyAlignment="1">
      <alignment vertical="center" wrapText="1" shrinkToFit="1"/>
    </xf>
    <xf numFmtId="43" fontId="7" fillId="0" borderId="65" xfId="1" applyFont="1" applyBorder="1" applyAlignment="1">
      <alignment vertical="center" wrapText="1" shrinkToFit="1"/>
    </xf>
    <xf numFmtId="43" fontId="7" fillId="0" borderId="66" xfId="1" applyFont="1" applyBorder="1" applyAlignment="1">
      <alignment vertical="center" wrapText="1" shrinkToFit="1"/>
    </xf>
    <xf numFmtId="43" fontId="7" fillId="0" borderId="66" xfId="1" applyFont="1" applyBorder="1" applyAlignment="1">
      <alignment horizontal="center" vertical="center" wrapText="1" shrinkToFit="1"/>
    </xf>
    <xf numFmtId="43" fontId="7" fillId="0" borderId="74" xfId="1" applyFont="1" applyBorder="1" applyAlignment="1">
      <alignment vertical="center" wrapText="1" shrinkToFit="1"/>
    </xf>
    <xf numFmtId="43" fontId="7" fillId="0" borderId="67" xfId="1" applyFont="1" applyBorder="1" applyAlignment="1">
      <alignment vertical="center" wrapText="1" shrinkToFit="1"/>
    </xf>
    <xf numFmtId="43" fontId="3" fillId="9" borderId="75" xfId="3" applyNumberFormat="1" applyFont="1" applyFill="1" applyBorder="1" applyAlignment="1">
      <alignment vertical="center"/>
    </xf>
    <xf numFmtId="43" fontId="3" fillId="9" borderId="76" xfId="3" applyNumberFormat="1" applyFont="1" applyFill="1" applyBorder="1" applyAlignment="1">
      <alignment vertical="center"/>
    </xf>
    <xf numFmtId="43" fontId="3" fillId="10" borderId="77" xfId="1" applyFont="1" applyFill="1" applyBorder="1" applyAlignment="1">
      <alignment vertical="center" wrapText="1" shrinkToFit="1"/>
    </xf>
    <xf numFmtId="43" fontId="3" fillId="10" borderId="78" xfId="1" applyFont="1" applyFill="1" applyBorder="1" applyAlignment="1">
      <alignment vertical="center" wrapText="1" shrinkToFit="1"/>
    </xf>
    <xf numFmtId="43" fontId="3" fillId="10" borderId="79" xfId="1" applyFont="1" applyFill="1" applyBorder="1" applyAlignment="1">
      <alignment vertical="center" wrapText="1" shrinkToFit="1"/>
    </xf>
    <xf numFmtId="43" fontId="3" fillId="10" borderId="80" xfId="1" applyFont="1" applyFill="1" applyBorder="1" applyAlignment="1">
      <alignment vertical="center" wrapText="1" shrinkToFit="1"/>
    </xf>
    <xf numFmtId="43" fontId="3" fillId="10" borderId="81" xfId="1" applyFont="1" applyFill="1" applyBorder="1" applyAlignment="1">
      <alignment vertical="center" wrapText="1" shrinkToFit="1"/>
    </xf>
    <xf numFmtId="43" fontId="3" fillId="10" borderId="82" xfId="1" applyFont="1" applyFill="1" applyBorder="1" applyAlignment="1">
      <alignment vertical="center" wrapText="1" shrinkToFit="1"/>
    </xf>
    <xf numFmtId="43" fontId="3" fillId="10" borderId="83" xfId="1" applyFont="1" applyFill="1" applyBorder="1" applyAlignment="1">
      <alignment vertical="center" wrapText="1" shrinkToFit="1"/>
    </xf>
    <xf numFmtId="43" fontId="3" fillId="10" borderId="78" xfId="1" applyFont="1" applyFill="1" applyBorder="1" applyAlignment="1">
      <alignment horizontal="center" vertical="center" wrapText="1" shrinkToFit="1"/>
    </xf>
    <xf numFmtId="43" fontId="3" fillId="10" borderId="84" xfId="1" applyFont="1" applyFill="1" applyBorder="1" applyAlignment="1">
      <alignment vertical="center" wrapText="1" shrinkToFit="1"/>
    </xf>
    <xf numFmtId="43" fontId="3" fillId="9" borderId="85" xfId="1" applyFont="1" applyFill="1" applyBorder="1" applyAlignment="1">
      <alignment vertical="center" wrapText="1" shrinkToFit="1"/>
    </xf>
    <xf numFmtId="43" fontId="3" fillId="10" borderId="86" xfId="1" applyFont="1" applyFill="1" applyBorder="1" applyAlignment="1">
      <alignment vertical="center" wrapText="1" shrinkToFit="1"/>
    </xf>
    <xf numFmtId="43" fontId="3" fillId="10" borderId="79" xfId="1" applyFont="1" applyFill="1" applyBorder="1" applyAlignment="1">
      <alignment horizontal="center" vertical="center" wrapText="1" shrinkToFit="1"/>
    </xf>
    <xf numFmtId="43" fontId="7" fillId="10" borderId="86" xfId="1" applyFont="1" applyFill="1" applyBorder="1" applyAlignment="1">
      <alignment vertical="center" wrapText="1" shrinkToFit="1"/>
    </xf>
    <xf numFmtId="43" fontId="7" fillId="10" borderId="77" xfId="1" applyFont="1" applyFill="1" applyBorder="1" applyAlignment="1">
      <alignment vertical="center" wrapText="1" shrinkToFit="1"/>
    </xf>
    <xf numFmtId="43" fontId="7" fillId="10" borderId="78" xfId="1" applyFont="1" applyFill="1" applyBorder="1" applyAlignment="1">
      <alignment vertical="center" wrapText="1" shrinkToFit="1"/>
    </xf>
    <xf numFmtId="43" fontId="7" fillId="10" borderId="78" xfId="1" applyFont="1" applyFill="1" applyBorder="1" applyAlignment="1">
      <alignment horizontal="center" vertical="center" wrapText="1" shrinkToFit="1"/>
    </xf>
    <xf numFmtId="43" fontId="7" fillId="10" borderId="87" xfId="1" applyFont="1" applyFill="1" applyBorder="1" applyAlignment="1">
      <alignment vertical="center" wrapText="1" shrinkToFit="1"/>
    </xf>
    <xf numFmtId="43" fontId="7" fillId="10" borderId="79" xfId="1" applyFont="1" applyFill="1" applyBorder="1" applyAlignment="1">
      <alignment vertical="center" wrapText="1" shrinkToFit="1"/>
    </xf>
    <xf numFmtId="43" fontId="2" fillId="0" borderId="0" xfId="1" applyFont="1" applyAlignment="1">
      <alignment vertical="center" wrapText="1" shrinkToFit="1"/>
    </xf>
    <xf numFmtId="43" fontId="2" fillId="0" borderId="0" xfId="0" applyNumberFormat="1" applyFont="1" applyAlignment="1">
      <alignment vertical="center" wrapText="1" shrinkToFit="1"/>
    </xf>
    <xf numFmtId="43" fontId="2" fillId="0" borderId="0" xfId="0" applyNumberFormat="1" applyFont="1" applyAlignment="1">
      <alignment horizontal="center" vertical="center" wrapText="1" shrinkToFit="1"/>
    </xf>
    <xf numFmtId="4" fontId="7" fillId="0" borderId="0" xfId="0" applyNumberFormat="1" applyFont="1" applyAlignment="1">
      <alignment horizontal="left" vertical="center" wrapText="1"/>
    </xf>
    <xf numFmtId="43" fontId="4" fillId="0" borderId="0" xfId="0" applyNumberFormat="1" applyFont="1" applyAlignment="1">
      <alignment vertical="center" wrapText="1" shrinkToFit="1"/>
    </xf>
    <xf numFmtId="0" fontId="7" fillId="0" borderId="0" xfId="0" applyFont="1" applyAlignment="1">
      <alignment horizontal="left" vertical="center" wrapText="1"/>
    </xf>
    <xf numFmtId="0" fontId="9" fillId="0" borderId="0" xfId="2" applyFont="1" applyFill="1" applyAlignment="1" applyProtection="1">
      <alignment vertical="center" wrapText="1" shrinkToFit="1"/>
    </xf>
    <xf numFmtId="0" fontId="10" fillId="0" borderId="0" xfId="3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0" xfId="0" applyFont="1" applyAlignment="1">
      <alignment vertical="center" wrapText="1" shrinkToFit="1"/>
    </xf>
    <xf numFmtId="0" fontId="12" fillId="0" borderId="0" xfId="0" applyFont="1" applyAlignment="1">
      <alignment horizontal="center" vertical="center" wrapText="1" shrinkToFit="1"/>
    </xf>
    <xf numFmtId="176" fontId="12" fillId="0" borderId="0" xfId="0" applyNumberFormat="1" applyFont="1" applyAlignment="1">
      <alignment vertical="center" wrapText="1" shrinkToFit="1"/>
    </xf>
    <xf numFmtId="43" fontId="0" fillId="0" borderId="0" xfId="1" applyFont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13" fillId="0" borderId="0" xfId="0" applyFont="1" applyAlignment="1">
      <alignment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vertical="center" shrinkToFit="1"/>
    </xf>
    <xf numFmtId="0" fontId="14" fillId="0" borderId="0" xfId="2" applyFont="1" applyFill="1" applyAlignment="1" applyProtection="1">
      <alignment horizontal="center" vertical="center" wrapText="1" shrinkToFit="1"/>
    </xf>
    <xf numFmtId="0" fontId="15" fillId="0" borderId="0" xfId="0" applyFont="1"/>
    <xf numFmtId="0" fontId="16" fillId="0" borderId="0" xfId="0" applyFont="1"/>
    <xf numFmtId="43" fontId="13" fillId="0" borderId="0" xfId="0" applyNumberFormat="1" applyFont="1" applyAlignment="1">
      <alignment vertical="center" wrapText="1" shrinkToFit="1"/>
    </xf>
    <xf numFmtId="43" fontId="17" fillId="0" borderId="0" xfId="0" applyNumberFormat="1" applyFont="1" applyAlignment="1">
      <alignment vertical="center" wrapText="1" shrinkToFit="1"/>
    </xf>
    <xf numFmtId="43" fontId="11" fillId="2" borderId="18" xfId="5" applyNumberFormat="1" applyFont="1" applyFill="1" applyBorder="1" applyAlignment="1">
      <alignment horizontal="center" vertical="center" wrapText="1"/>
    </xf>
    <xf numFmtId="43" fontId="11" fillId="2" borderId="92" xfId="5" applyNumberFormat="1" applyFont="1" applyFill="1" applyBorder="1" applyAlignment="1">
      <alignment horizontal="center" vertical="center" wrapText="1"/>
    </xf>
    <xf numFmtId="43" fontId="11" fillId="8" borderId="15" xfId="5" applyNumberFormat="1" applyFont="1" applyFill="1" applyBorder="1" applyAlignment="1">
      <alignment horizontal="center" vertical="center" wrapText="1" shrinkToFit="1"/>
    </xf>
    <xf numFmtId="43" fontId="11" fillId="11" borderId="15" xfId="5" applyNumberFormat="1" applyFont="1" applyFill="1" applyBorder="1" applyAlignment="1">
      <alignment horizontal="center" vertical="center" wrapText="1" shrinkToFit="1"/>
    </xf>
    <xf numFmtId="43" fontId="11" fillId="3" borderId="15" xfId="0" applyNumberFormat="1" applyFont="1" applyFill="1" applyBorder="1" applyAlignment="1">
      <alignment horizontal="center" vertical="center" wrapText="1"/>
    </xf>
    <xf numFmtId="43" fontId="11" fillId="3" borderId="23" xfId="0" applyNumberFormat="1" applyFont="1" applyFill="1" applyBorder="1" applyAlignment="1">
      <alignment horizontal="center" vertical="center" wrapText="1"/>
    </xf>
    <xf numFmtId="43" fontId="11" fillId="4" borderId="12" xfId="0" applyNumberFormat="1" applyFont="1" applyFill="1" applyBorder="1" applyAlignment="1">
      <alignment horizontal="center" vertical="center" wrapText="1" shrinkToFit="1"/>
    </xf>
    <xf numFmtId="43" fontId="11" fillId="4" borderId="15" xfId="0" applyNumberFormat="1" applyFont="1" applyFill="1" applyBorder="1" applyAlignment="1">
      <alignment horizontal="center" vertical="center" wrapText="1" shrinkToFit="1"/>
    </xf>
    <xf numFmtId="43" fontId="11" fillId="4" borderId="22" xfId="0" applyNumberFormat="1" applyFont="1" applyFill="1" applyBorder="1" applyAlignment="1">
      <alignment horizontal="center" vertical="center" wrapText="1" shrinkToFit="1"/>
    </xf>
    <xf numFmtId="43" fontId="18" fillId="5" borderId="21" xfId="0" applyNumberFormat="1" applyFont="1" applyFill="1" applyBorder="1" applyAlignment="1">
      <alignment horizontal="center" vertical="center" wrapText="1" shrinkToFit="1"/>
    </xf>
    <xf numFmtId="43" fontId="18" fillId="5" borderId="93" xfId="0" applyNumberFormat="1" applyFont="1" applyFill="1" applyBorder="1" applyAlignment="1">
      <alignment horizontal="center" vertical="center" wrapText="1" shrinkToFit="1"/>
    </xf>
    <xf numFmtId="0" fontId="18" fillId="5" borderId="23" xfId="0" applyFont="1" applyFill="1" applyBorder="1" applyAlignment="1">
      <alignment horizontal="center" vertical="center" wrapText="1" shrinkToFit="1"/>
    </xf>
    <xf numFmtId="43" fontId="18" fillId="6" borderId="12" xfId="0" applyNumberFormat="1" applyFont="1" applyFill="1" applyBorder="1" applyAlignment="1">
      <alignment horizontal="center" vertical="center" wrapText="1" shrinkToFit="1"/>
    </xf>
    <xf numFmtId="43" fontId="18" fillId="6" borderId="15" xfId="0" applyNumberFormat="1" applyFont="1" applyFill="1" applyBorder="1" applyAlignment="1">
      <alignment horizontal="center" vertical="center" wrapText="1" shrinkToFit="1"/>
    </xf>
    <xf numFmtId="43" fontId="18" fillId="6" borderId="22" xfId="0" applyNumberFormat="1" applyFont="1" applyFill="1" applyBorder="1" applyAlignment="1">
      <alignment horizontal="center" vertical="center" wrapText="1" shrinkToFit="1"/>
    </xf>
    <xf numFmtId="43" fontId="18" fillId="7" borderId="21" xfId="0" applyNumberFormat="1" applyFont="1" applyFill="1" applyBorder="1" applyAlignment="1">
      <alignment horizontal="center" vertical="center" wrapText="1" shrinkToFit="1"/>
    </xf>
    <xf numFmtId="43" fontId="18" fillId="7" borderId="22" xfId="0" applyNumberFormat="1" applyFont="1" applyFill="1" applyBorder="1" applyAlignment="1">
      <alignment horizontal="center" vertical="center" wrapText="1" shrinkToFit="1"/>
    </xf>
    <xf numFmtId="43" fontId="18" fillId="12" borderId="21" xfId="0" applyNumberFormat="1" applyFont="1" applyFill="1" applyBorder="1" applyAlignment="1">
      <alignment horizontal="center" vertical="center" wrapText="1" shrinkToFit="1"/>
    </xf>
    <xf numFmtId="43" fontId="18" fillId="12" borderId="22" xfId="0" applyNumberFormat="1" applyFont="1" applyFill="1" applyBorder="1" applyAlignment="1">
      <alignment horizontal="center" vertical="center" wrapText="1" shrinkToFit="1"/>
    </xf>
    <xf numFmtId="0" fontId="11" fillId="9" borderId="25" xfId="3" applyFont="1" applyFill="1" applyBorder="1" applyAlignment="1">
      <alignment horizontal="left" vertical="center" wrapText="1" shrinkToFit="1"/>
    </xf>
    <xf numFmtId="43" fontId="11" fillId="9" borderId="25" xfId="1" applyFont="1" applyFill="1" applyBorder="1" applyAlignment="1">
      <alignment vertical="center" wrapText="1" shrinkToFit="1"/>
    </xf>
    <xf numFmtId="0" fontId="11" fillId="9" borderId="25" xfId="0" applyFont="1" applyFill="1" applyBorder="1" applyAlignment="1">
      <alignment vertical="center" wrapText="1" shrinkToFit="1"/>
    </xf>
    <xf numFmtId="0" fontId="11" fillId="9" borderId="94" xfId="0" applyFont="1" applyFill="1" applyBorder="1" applyAlignment="1">
      <alignment vertical="center" wrapText="1" shrinkToFit="1"/>
    </xf>
    <xf numFmtId="0" fontId="11" fillId="9" borderId="25" xfId="0" applyFont="1" applyFill="1" applyBorder="1" applyAlignment="1">
      <alignment horizontal="left" vertical="center" wrapText="1" shrinkToFit="1"/>
    </xf>
    <xf numFmtId="0" fontId="11" fillId="9" borderId="25" xfId="0" applyFont="1" applyFill="1" applyBorder="1" applyAlignment="1">
      <alignment horizontal="center" vertical="center" wrapText="1" shrinkToFit="1"/>
    </xf>
    <xf numFmtId="0" fontId="11" fillId="9" borderId="26" xfId="0" applyFont="1" applyFill="1" applyBorder="1" applyAlignment="1">
      <alignment vertical="center" wrapText="1" shrinkToFit="1"/>
    </xf>
    <xf numFmtId="43" fontId="23" fillId="10" borderId="55" xfId="1" applyFont="1" applyFill="1" applyBorder="1" applyAlignment="1">
      <alignment vertical="center" wrapText="1" shrinkToFit="1"/>
    </xf>
    <xf numFmtId="181" fontId="11" fillId="10" borderId="55" xfId="3" applyNumberFormat="1" applyFont="1" applyFill="1" applyBorder="1" applyAlignment="1">
      <alignment horizontal="center" vertical="center" wrapText="1" shrinkToFit="1"/>
    </xf>
    <xf numFmtId="43" fontId="11" fillId="10" borderId="55" xfId="1" applyFont="1" applyFill="1" applyBorder="1" applyAlignment="1">
      <alignment vertical="center" wrapText="1" shrinkToFit="1"/>
    </xf>
    <xf numFmtId="0" fontId="12" fillId="0" borderId="0" xfId="0" applyFont="1" applyAlignment="1">
      <alignment vertical="center" wrapText="1" shrinkToFit="1"/>
    </xf>
    <xf numFmtId="178" fontId="12" fillId="0" borderId="0" xfId="0" applyNumberFormat="1" applyFont="1" applyAlignment="1">
      <alignment horizontal="center" vertical="center" wrapText="1" shrinkToFi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2" borderId="0" xfId="0" applyFill="1"/>
    <xf numFmtId="0" fontId="48" fillId="2" borderId="0" xfId="5" applyFill="1" applyAlignment="1">
      <alignment vertical="center"/>
    </xf>
    <xf numFmtId="43" fontId="48" fillId="2" borderId="0" xfId="5" applyNumberFormat="1" applyFill="1" applyAlignment="1">
      <alignment horizontal="center" vertical="center"/>
    </xf>
    <xf numFmtId="0" fontId="48" fillId="2" borderId="0" xfId="5" applyFill="1" applyAlignment="1">
      <alignment horizontal="center" vertical="center"/>
    </xf>
    <xf numFmtId="10" fontId="13" fillId="2" borderId="0" xfId="0" applyNumberFormat="1" applyFont="1" applyFill="1"/>
    <xf numFmtId="10" fontId="29" fillId="13" borderId="0" xfId="0" applyNumberFormat="1" applyFont="1" applyFill="1" applyAlignment="1">
      <alignment horizontal="center" vertical="center"/>
    </xf>
    <xf numFmtId="0" fontId="26" fillId="0" borderId="102" xfId="0" applyFont="1" applyBorder="1" applyAlignment="1">
      <alignment horizontal="left" vertical="center" indent="2"/>
    </xf>
    <xf numFmtId="43" fontId="26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0" fontId="31" fillId="14" borderId="103" xfId="0" applyFont="1" applyFill="1" applyBorder="1" applyAlignment="1">
      <alignment horizontal="center" vertical="center"/>
    </xf>
    <xf numFmtId="43" fontId="31" fillId="14" borderId="104" xfId="0" applyNumberFormat="1" applyFont="1" applyFill="1" applyBorder="1" applyAlignment="1">
      <alignment horizontal="center" vertical="center"/>
    </xf>
    <xf numFmtId="0" fontId="31" fillId="14" borderId="105" xfId="0" applyFont="1" applyFill="1" applyBorder="1" applyAlignment="1">
      <alignment horizontal="center" vertical="center"/>
    </xf>
    <xf numFmtId="43" fontId="31" fillId="14" borderId="106" xfId="0" applyNumberFormat="1" applyFont="1" applyFill="1" applyBorder="1" applyAlignment="1">
      <alignment horizontal="center" vertical="center"/>
    </xf>
    <xf numFmtId="10" fontId="32" fillId="14" borderId="106" xfId="0" applyNumberFormat="1" applyFont="1" applyFill="1" applyBorder="1" applyAlignment="1">
      <alignment horizontal="center" vertical="center"/>
    </xf>
    <xf numFmtId="0" fontId="33" fillId="15" borderId="107" xfId="0" applyFont="1" applyFill="1" applyBorder="1" applyAlignment="1">
      <alignment horizontal="center" vertical="center"/>
    </xf>
    <xf numFmtId="43" fontId="33" fillId="15" borderId="108" xfId="0" applyNumberFormat="1" applyFont="1" applyFill="1" applyBorder="1" applyAlignment="1">
      <alignment horizontal="center" vertical="center"/>
    </xf>
    <xf numFmtId="0" fontId="33" fillId="15" borderId="109" xfId="0" applyFont="1" applyFill="1" applyBorder="1" applyAlignment="1">
      <alignment horizontal="center" vertical="center"/>
    </xf>
    <xf numFmtId="43" fontId="33" fillId="15" borderId="110" xfId="0" applyNumberFormat="1" applyFont="1" applyFill="1" applyBorder="1" applyAlignment="1">
      <alignment horizontal="center" vertical="center"/>
    </xf>
    <xf numFmtId="10" fontId="11" fillId="15" borderId="110" xfId="0" applyNumberFormat="1" applyFont="1" applyFill="1" applyBorder="1" applyAlignment="1">
      <alignment horizontal="center" vertical="center"/>
    </xf>
    <xf numFmtId="0" fontId="33" fillId="16" borderId="107" xfId="0" applyFont="1" applyFill="1" applyBorder="1" applyAlignment="1">
      <alignment horizontal="left" vertical="center" indent="1"/>
    </xf>
    <xf numFmtId="43" fontId="33" fillId="16" borderId="109" xfId="0" applyNumberFormat="1" applyFont="1" applyFill="1" applyBorder="1" applyAlignment="1">
      <alignment horizontal="center" vertical="center"/>
    </xf>
    <xf numFmtId="43" fontId="33" fillId="16" borderId="110" xfId="0" applyNumberFormat="1" applyFont="1" applyFill="1" applyBorder="1" applyAlignment="1">
      <alignment horizontal="center" vertical="center"/>
    </xf>
    <xf numFmtId="10" fontId="11" fillId="16" borderId="110" xfId="0" applyNumberFormat="1" applyFont="1" applyFill="1" applyBorder="1" applyAlignment="1">
      <alignment horizontal="center" vertical="center"/>
    </xf>
    <xf numFmtId="0" fontId="33" fillId="17" borderId="102" xfId="0" applyFont="1" applyFill="1" applyBorder="1" applyAlignment="1">
      <alignment horizontal="left" vertical="center" indent="2"/>
    </xf>
    <xf numFmtId="43" fontId="33" fillId="17" borderId="111" xfId="0" applyNumberFormat="1" applyFont="1" applyFill="1" applyBorder="1" applyAlignment="1">
      <alignment horizontal="center" vertical="center"/>
    </xf>
    <xf numFmtId="0" fontId="33" fillId="17" borderId="111" xfId="0" applyFont="1" applyFill="1" applyBorder="1" applyAlignment="1">
      <alignment horizontal="center" vertical="center"/>
    </xf>
    <xf numFmtId="43" fontId="33" fillId="17" borderId="112" xfId="0" applyNumberFormat="1" applyFont="1" applyFill="1" applyBorder="1" applyAlignment="1">
      <alignment horizontal="center" vertical="center"/>
    </xf>
    <xf numFmtId="10" fontId="11" fillId="17" borderId="113" xfId="0" applyNumberFormat="1" applyFont="1" applyFill="1" applyBorder="1" applyAlignment="1">
      <alignment horizontal="center" vertical="center"/>
    </xf>
    <xf numFmtId="0" fontId="33" fillId="16" borderId="109" xfId="0" applyFont="1" applyFill="1" applyBorder="1" applyAlignment="1">
      <alignment horizontal="center" vertical="center"/>
    </xf>
    <xf numFmtId="0" fontId="33" fillId="15" borderId="114" xfId="0" applyFont="1" applyFill="1" applyBorder="1" applyAlignment="1">
      <alignment horizontal="center" vertical="center"/>
    </xf>
    <xf numFmtId="43" fontId="33" fillId="15" borderId="114" xfId="0" applyNumberFormat="1" applyFont="1" applyFill="1" applyBorder="1" applyAlignment="1">
      <alignment horizontal="center" vertical="center"/>
    </xf>
    <xf numFmtId="10" fontId="11" fillId="15" borderId="114" xfId="0" applyNumberFormat="1" applyFont="1" applyFill="1" applyBorder="1" applyAlignment="1">
      <alignment horizontal="center" vertical="center"/>
    </xf>
    <xf numFmtId="43" fontId="33" fillId="16" borderId="115" xfId="0" applyNumberFormat="1" applyFont="1" applyFill="1" applyBorder="1" applyAlignment="1">
      <alignment horizontal="center" vertical="center"/>
    </xf>
    <xf numFmtId="10" fontId="11" fillId="16" borderId="115" xfId="0" applyNumberFormat="1" applyFont="1" applyFill="1" applyBorder="1" applyAlignment="1">
      <alignment horizontal="center" vertical="center"/>
    </xf>
    <xf numFmtId="43" fontId="33" fillId="17" borderId="113" xfId="0" applyNumberFormat="1" applyFont="1" applyFill="1" applyBorder="1" applyAlignment="1">
      <alignment horizontal="center" vertical="center"/>
    </xf>
    <xf numFmtId="0" fontId="33" fillId="18" borderId="102" xfId="0" applyFont="1" applyFill="1" applyBorder="1" applyAlignment="1">
      <alignment horizontal="left" vertical="center" indent="2"/>
    </xf>
    <xf numFmtId="43" fontId="33" fillId="15" borderId="109" xfId="0" applyNumberFormat="1" applyFont="1" applyFill="1" applyBorder="1" applyAlignment="1">
      <alignment horizontal="center" vertical="center"/>
    </xf>
    <xf numFmtId="43" fontId="33" fillId="15" borderId="115" xfId="0" applyNumberFormat="1" applyFont="1" applyFill="1" applyBorder="1" applyAlignment="1">
      <alignment horizontal="center" vertical="center"/>
    </xf>
    <xf numFmtId="10" fontId="11" fillId="15" borderId="115" xfId="0" applyNumberFormat="1" applyFont="1" applyFill="1" applyBorder="1" applyAlignment="1">
      <alignment horizontal="center" vertical="center"/>
    </xf>
    <xf numFmtId="0" fontId="34" fillId="19" borderId="116" xfId="0" applyFont="1" applyFill="1" applyBorder="1" applyAlignment="1">
      <alignment horizontal="center" vertical="center" wrapText="1"/>
    </xf>
    <xf numFmtId="43" fontId="35" fillId="19" borderId="117" xfId="0" applyNumberFormat="1" applyFont="1" applyFill="1" applyBorder="1" applyAlignment="1">
      <alignment horizontal="center" vertical="center"/>
    </xf>
    <xf numFmtId="43" fontId="36" fillId="19" borderId="118" xfId="0" applyNumberFormat="1" applyFont="1" applyFill="1" applyBorder="1" applyAlignment="1">
      <alignment horizontal="center" vertical="center"/>
    </xf>
    <xf numFmtId="10" fontId="29" fillId="19" borderId="118" xfId="0" applyNumberFormat="1" applyFont="1" applyFill="1" applyBorder="1" applyAlignment="1">
      <alignment horizontal="center" vertical="center"/>
    </xf>
    <xf numFmtId="0" fontId="33" fillId="20" borderId="119" xfId="0" applyFont="1" applyFill="1" applyBorder="1" applyAlignment="1">
      <alignment horizontal="right" vertical="center"/>
    </xf>
    <xf numFmtId="43" fontId="37" fillId="20" borderId="120" xfId="0" applyNumberFormat="1" applyFont="1" applyFill="1" applyBorder="1" applyAlignment="1">
      <alignment horizontal="center" vertical="center"/>
    </xf>
    <xf numFmtId="0" fontId="38" fillId="20" borderId="120" xfId="0" applyFont="1" applyFill="1" applyBorder="1" applyAlignment="1">
      <alignment horizontal="center" vertical="center"/>
    </xf>
    <xf numFmtId="0" fontId="33" fillId="20" borderId="120" xfId="0" applyFont="1" applyFill="1" applyBorder="1" applyAlignment="1">
      <alignment horizontal="center" vertical="center"/>
    </xf>
    <xf numFmtId="179" fontId="39" fillId="20" borderId="120" xfId="0" applyNumberFormat="1" applyFont="1" applyFill="1" applyBorder="1" applyAlignment="1">
      <alignment horizontal="center" vertical="center"/>
    </xf>
    <xf numFmtId="0" fontId="38" fillId="20" borderId="121" xfId="0" applyFont="1" applyFill="1" applyBorder="1" applyAlignment="1">
      <alignment horizontal="center" vertical="center"/>
    </xf>
    <xf numFmtId="10" fontId="10" fillId="20" borderId="121" xfId="0" applyNumberFormat="1" applyFont="1" applyFill="1" applyBorder="1" applyAlignment="1">
      <alignment horizontal="center" vertical="center"/>
    </xf>
    <xf numFmtId="0" fontId="33" fillId="20" borderId="122" xfId="0" applyFont="1" applyFill="1" applyBorder="1" applyAlignment="1">
      <alignment horizontal="right" vertical="center"/>
    </xf>
    <xf numFmtId="43" fontId="39" fillId="20" borderId="120" xfId="0" applyNumberFormat="1" applyFont="1" applyFill="1" applyBorder="1" applyAlignment="1">
      <alignment horizontal="center" vertical="center"/>
    </xf>
    <xf numFmtId="0" fontId="38" fillId="20" borderId="123" xfId="0" applyFont="1" applyFill="1" applyBorder="1" applyAlignment="1">
      <alignment horizontal="center" vertical="center"/>
    </xf>
    <xf numFmtId="0" fontId="33" fillId="20" borderId="123" xfId="0" applyFont="1" applyFill="1" applyBorder="1" applyAlignment="1">
      <alignment horizontal="center" vertical="center"/>
    </xf>
    <xf numFmtId="10" fontId="40" fillId="20" borderId="123" xfId="0" applyNumberFormat="1" applyFont="1" applyFill="1" applyBorder="1" applyAlignment="1">
      <alignment horizontal="center" vertical="center"/>
    </xf>
    <xf numFmtId="0" fontId="38" fillId="20" borderId="124" xfId="0" applyFont="1" applyFill="1" applyBorder="1" applyAlignment="1">
      <alignment horizontal="center" vertical="center"/>
    </xf>
    <xf numFmtId="10" fontId="10" fillId="20" borderId="124" xfId="0" applyNumberFormat="1" applyFont="1" applyFill="1" applyBorder="1" applyAlignment="1">
      <alignment horizontal="center" vertical="center"/>
    </xf>
    <xf numFmtId="43" fontId="41" fillId="21" borderId="125" xfId="5" applyNumberFormat="1" applyFont="1" applyFill="1" applyBorder="1" applyAlignment="1">
      <alignment horizontal="center" vertical="center"/>
    </xf>
    <xf numFmtId="43" fontId="41" fillId="21" borderId="125" xfId="5" applyNumberFormat="1" applyFont="1" applyFill="1" applyBorder="1" applyAlignment="1">
      <alignment vertical="center"/>
    </xf>
    <xf numFmtId="10" fontId="0" fillId="2" borderId="0" xfId="0" applyNumberFormat="1" applyFill="1"/>
    <xf numFmtId="43" fontId="6" fillId="2" borderId="125" xfId="5" applyNumberFormat="1" applyFont="1" applyFill="1" applyBorder="1" applyAlignment="1">
      <alignment vertical="center"/>
    </xf>
    <xf numFmtId="43" fontId="48" fillId="2" borderId="0" xfId="5" applyNumberFormat="1" applyFill="1" applyAlignment="1">
      <alignment vertical="center"/>
    </xf>
    <xf numFmtId="10" fontId="13" fillId="2" borderId="0" xfId="5" applyNumberFormat="1" applyFont="1" applyFill="1" applyAlignment="1">
      <alignment horizontal="center" vertical="center"/>
    </xf>
    <xf numFmtId="0" fontId="11" fillId="10" borderId="96" xfId="3" applyFont="1" applyFill="1" applyBorder="1" applyAlignment="1">
      <alignment vertical="center" wrapText="1" shrinkToFit="1"/>
    </xf>
    <xf numFmtId="0" fontId="11" fillId="10" borderId="97" xfId="3" applyFont="1" applyFill="1" applyBorder="1" applyAlignment="1">
      <alignment vertical="center" wrapText="1" shrinkToFit="1"/>
    </xf>
    <xf numFmtId="0" fontId="11" fillId="0" borderId="27" xfId="3" applyFont="1" applyBorder="1" applyAlignment="1">
      <alignment horizontal="center" wrapText="1" shrinkToFit="1"/>
    </xf>
    <xf numFmtId="14" fontId="19" fillId="0" borderId="28" xfId="3" applyNumberFormat="1" applyFont="1" applyBorder="1" applyAlignment="1">
      <alignment horizontal="right" shrinkToFit="1"/>
    </xf>
    <xf numFmtId="43" fontId="11" fillId="0" borderId="29" xfId="1" applyFont="1" applyBorder="1" applyAlignment="1">
      <alignment wrapText="1" shrinkToFit="1"/>
    </xf>
    <xf numFmtId="43" fontId="11" fillId="0" borderId="30" xfId="1" applyFont="1" applyBorder="1" applyAlignment="1">
      <alignment wrapText="1" shrinkToFit="1"/>
    </xf>
    <xf numFmtId="43" fontId="11" fillId="9" borderId="31" xfId="1" applyFont="1" applyFill="1" applyBorder="1" applyAlignment="1">
      <alignment wrapText="1" shrinkToFit="1"/>
    </xf>
    <xf numFmtId="178" fontId="11" fillId="0" borderId="48" xfId="1" applyNumberFormat="1" applyFont="1" applyFill="1" applyBorder="1" applyAlignment="1">
      <alignment wrapText="1" shrinkToFit="1"/>
    </xf>
    <xf numFmtId="43" fontId="11" fillId="0" borderId="32" xfId="1" applyFont="1" applyBorder="1" applyAlignment="1">
      <alignment wrapText="1" shrinkToFit="1"/>
    </xf>
    <xf numFmtId="43" fontId="11" fillId="0" borderId="33" xfId="1" applyFont="1" applyBorder="1" applyAlignment="1">
      <alignment wrapText="1" shrinkToFit="1"/>
    </xf>
    <xf numFmtId="43" fontId="11" fillId="0" borderId="34" xfId="1" applyFont="1" applyBorder="1" applyAlignment="1">
      <alignment wrapText="1" shrinkToFit="1"/>
    </xf>
    <xf numFmtId="43" fontId="11" fillId="0" borderId="35" xfId="1" applyFont="1" applyBorder="1" applyAlignment="1">
      <alignment wrapText="1" shrinkToFit="1"/>
    </xf>
    <xf numFmtId="43" fontId="11" fillId="9" borderId="94" xfId="1" applyFont="1" applyFill="1" applyBorder="1" applyAlignment="1">
      <alignment wrapText="1" shrinkToFit="1"/>
    </xf>
    <xf numFmtId="0" fontId="20" fillId="0" borderId="51" xfId="5" applyFont="1" applyBorder="1" applyAlignment="1">
      <alignment horizontal="center" shrinkToFit="1"/>
    </xf>
    <xf numFmtId="178" fontId="20" fillId="0" borderId="66" xfId="3" applyNumberFormat="1" applyFont="1" applyBorder="1" applyAlignment="1">
      <alignment horizontal="center" shrinkToFit="1"/>
    </xf>
    <xf numFmtId="180" fontId="20" fillId="0" borderId="46" xfId="3" applyNumberFormat="1" applyFont="1" applyBorder="1" applyAlignment="1">
      <alignment horizontal="center" shrinkToFit="1"/>
    </xf>
    <xf numFmtId="43" fontId="11" fillId="0" borderId="40" xfId="1" applyFont="1" applyFill="1" applyBorder="1" applyAlignment="1">
      <alignment wrapText="1" shrinkToFit="1"/>
    </xf>
    <xf numFmtId="43" fontId="11" fillId="0" borderId="29" xfId="1" applyFont="1" applyFill="1" applyBorder="1" applyAlignment="1">
      <alignment wrapText="1" shrinkToFit="1"/>
    </xf>
    <xf numFmtId="43" fontId="11" fillId="0" borderId="30" xfId="1" applyFont="1" applyFill="1" applyBorder="1" applyAlignment="1">
      <alignment horizontal="center" wrapText="1" shrinkToFit="1"/>
    </xf>
    <xf numFmtId="43" fontId="11" fillId="0" borderId="53" xfId="1" applyFont="1" applyFill="1" applyBorder="1" applyAlignment="1">
      <alignment horizontal="center" wrapText="1" shrinkToFit="1"/>
    </xf>
    <xf numFmtId="43" fontId="11" fillId="0" borderId="41" xfId="1" applyFont="1" applyFill="1" applyBorder="1" applyAlignment="1">
      <alignment wrapText="1" shrinkToFit="1"/>
    </xf>
    <xf numFmtId="43" fontId="21" fillId="0" borderId="40" xfId="1" applyFont="1" applyFill="1" applyBorder="1" applyAlignment="1">
      <alignment wrapText="1" shrinkToFit="1"/>
    </xf>
    <xf numFmtId="43" fontId="21" fillId="0" borderId="29" xfId="1" applyFont="1" applyFill="1" applyBorder="1" applyAlignment="1">
      <alignment wrapText="1" shrinkToFit="1"/>
    </xf>
    <xf numFmtId="43" fontId="21" fillId="0" borderId="30" xfId="1" applyFont="1" applyFill="1" applyBorder="1" applyAlignment="1">
      <alignment wrapText="1" shrinkToFit="1"/>
    </xf>
    <xf numFmtId="43" fontId="21" fillId="0" borderId="42" xfId="1" applyFont="1" applyFill="1" applyBorder="1" applyAlignment="1">
      <alignment wrapText="1" shrinkToFit="1"/>
    </xf>
    <xf numFmtId="43" fontId="21" fillId="0" borderId="27" xfId="1" applyFont="1" applyFill="1" applyBorder="1" applyAlignment="1">
      <alignment wrapText="1" shrinkToFit="1"/>
    </xf>
    <xf numFmtId="43" fontId="21" fillId="0" borderId="41" xfId="1" applyFont="1" applyFill="1" applyBorder="1" applyAlignment="1">
      <alignment wrapText="1" shrinkToFit="1"/>
    </xf>
    <xf numFmtId="43" fontId="22" fillId="0" borderId="52" xfId="1" applyFont="1" applyFill="1" applyBorder="1" applyAlignment="1">
      <alignment wrapText="1" shrinkToFit="1"/>
    </xf>
    <xf numFmtId="43" fontId="11" fillId="0" borderId="43" xfId="1" applyFont="1" applyFill="1" applyBorder="1" applyAlignment="1">
      <alignment wrapText="1" shrinkToFit="1"/>
    </xf>
    <xf numFmtId="43" fontId="11" fillId="0" borderId="45" xfId="1" applyFont="1" applyFill="1" applyBorder="1" applyAlignment="1">
      <alignment wrapText="1" shrinkToFit="1"/>
    </xf>
    <xf numFmtId="43" fontId="11" fillId="0" borderId="52" xfId="1" applyFont="1" applyFill="1" applyBorder="1" applyAlignment="1">
      <alignment wrapText="1" shrinkToFit="1"/>
    </xf>
    <xf numFmtId="43" fontId="11" fillId="0" borderId="44" xfId="1" applyFont="1" applyFill="1" applyBorder="1" applyAlignment="1">
      <alignment wrapText="1" shrinkToFit="1"/>
    </xf>
    <xf numFmtId="43" fontId="11" fillId="0" borderId="44" xfId="1" applyFont="1" applyBorder="1" applyAlignment="1">
      <alignment wrapText="1" shrinkToFit="1"/>
    </xf>
    <xf numFmtId="43" fontId="11" fillId="0" borderId="45" xfId="1" applyFont="1" applyBorder="1" applyAlignment="1">
      <alignment wrapText="1" shrinkToFit="1"/>
    </xf>
    <xf numFmtId="43" fontId="11" fillId="0" borderId="47" xfId="1" applyFont="1" applyBorder="1" applyAlignment="1">
      <alignment wrapText="1" shrinkToFit="1"/>
    </xf>
    <xf numFmtId="178" fontId="11" fillId="0" borderId="48" xfId="1" applyNumberFormat="1" applyFont="1" applyBorder="1" applyAlignment="1">
      <alignment wrapText="1" shrinkToFit="1"/>
    </xf>
    <xf numFmtId="43" fontId="11" fillId="0" borderId="49" xfId="1" applyFont="1" applyBorder="1" applyAlignment="1">
      <alignment wrapText="1" shrinkToFit="1"/>
    </xf>
    <xf numFmtId="43" fontId="11" fillId="0" borderId="50" xfId="1" applyFont="1" applyBorder="1" applyAlignment="1">
      <alignment wrapText="1" shrinkToFit="1"/>
    </xf>
    <xf numFmtId="43" fontId="11" fillId="0" borderId="51" xfId="1" applyFont="1" applyFill="1" applyBorder="1" applyAlignment="1">
      <alignment wrapText="1" shrinkToFit="1"/>
    </xf>
    <xf numFmtId="43" fontId="11" fillId="0" borderId="45" xfId="1" applyFont="1" applyFill="1" applyBorder="1" applyAlignment="1">
      <alignment horizontal="center" wrapText="1" shrinkToFit="1"/>
    </xf>
    <xf numFmtId="0" fontId="11" fillId="10" borderId="96" xfId="3" applyFont="1" applyFill="1" applyBorder="1" applyAlignment="1">
      <alignment wrapText="1" shrinkToFit="1"/>
    </xf>
    <xf numFmtId="0" fontId="11" fillId="10" borderId="97" xfId="3" applyFont="1" applyFill="1" applyBorder="1" applyAlignment="1">
      <alignment wrapText="1" shrinkToFit="1"/>
    </xf>
    <xf numFmtId="43" fontId="23" fillId="10" borderId="55" xfId="1" applyFont="1" applyFill="1" applyBorder="1" applyAlignment="1">
      <alignment wrapText="1" shrinkToFit="1"/>
    </xf>
    <xf numFmtId="43" fontId="18" fillId="10" borderId="55" xfId="1" applyFont="1" applyFill="1" applyBorder="1" applyAlignment="1">
      <alignment wrapText="1" shrinkToFit="1"/>
    </xf>
    <xf numFmtId="43" fontId="23" fillId="9" borderId="98" xfId="3" applyNumberFormat="1" applyFont="1" applyFill="1" applyBorder="1" applyAlignment="1">
      <alignment horizontal="left"/>
    </xf>
    <xf numFmtId="43" fontId="23" fillId="9" borderId="36" xfId="3" applyNumberFormat="1" applyFont="1" applyFill="1" applyBorder="1" applyAlignment="1">
      <alignment wrapText="1" shrinkToFit="1"/>
    </xf>
    <xf numFmtId="43" fontId="23" fillId="9" borderId="34" xfId="3" applyNumberFormat="1" applyFont="1" applyFill="1" applyBorder="1" applyAlignment="1">
      <alignment wrapText="1" shrinkToFit="1"/>
    </xf>
    <xf numFmtId="43" fontId="23" fillId="9" borderId="29" xfId="1" applyFont="1" applyFill="1" applyBorder="1" applyAlignment="1">
      <alignment wrapText="1" shrinkToFit="1"/>
    </xf>
    <xf numFmtId="43" fontId="23" fillId="9" borderId="30" xfId="1" applyFont="1" applyFill="1" applyBorder="1" applyAlignment="1">
      <alignment wrapText="1" shrinkToFit="1"/>
    </xf>
    <xf numFmtId="43" fontId="23" fillId="9" borderId="31" xfId="1" applyFont="1" applyFill="1" applyBorder="1" applyAlignment="1">
      <alignment wrapText="1" shrinkToFit="1"/>
    </xf>
    <xf numFmtId="43" fontId="23" fillId="9" borderId="32" xfId="1" applyFont="1" applyFill="1" applyBorder="1" applyAlignment="1">
      <alignment wrapText="1" shrinkToFit="1"/>
    </xf>
    <xf numFmtId="43" fontId="23" fillId="9" borderId="33" xfId="1" applyFont="1" applyFill="1" applyBorder="1" applyAlignment="1">
      <alignment wrapText="1" shrinkToFit="1"/>
    </xf>
    <xf numFmtId="43" fontId="23" fillId="9" borderId="34" xfId="1" applyFont="1" applyFill="1" applyBorder="1" applyAlignment="1">
      <alignment wrapText="1" shrinkToFit="1"/>
    </xf>
    <xf numFmtId="43" fontId="11" fillId="9" borderId="35" xfId="1" applyFont="1" applyFill="1" applyBorder="1" applyAlignment="1">
      <alignment wrapText="1" shrinkToFit="1"/>
    </xf>
    <xf numFmtId="43" fontId="11" fillId="9" borderId="34" xfId="1" applyFont="1" applyFill="1" applyBorder="1" applyAlignment="1">
      <alignment wrapText="1" shrinkToFit="1"/>
    </xf>
    <xf numFmtId="43" fontId="11" fillId="9" borderId="99" xfId="1" applyFont="1" applyFill="1" applyBorder="1" applyAlignment="1">
      <alignment wrapText="1" shrinkToFit="1"/>
    </xf>
    <xf numFmtId="43" fontId="23" fillId="9" borderId="31" xfId="1" applyFont="1" applyFill="1" applyBorder="1" applyAlignment="1">
      <alignment horizontal="left" wrapText="1" shrinkToFit="1"/>
    </xf>
    <xf numFmtId="43" fontId="18" fillId="9" borderId="40" xfId="1" applyFont="1" applyFill="1" applyBorder="1" applyAlignment="1">
      <alignment wrapText="1" shrinkToFit="1"/>
    </xf>
    <xf numFmtId="43" fontId="18" fillId="9" borderId="29" xfId="1" applyFont="1" applyFill="1" applyBorder="1" applyAlignment="1">
      <alignment wrapText="1" shrinkToFit="1"/>
    </xf>
    <xf numFmtId="43" fontId="18" fillId="9" borderId="30" xfId="1" applyFont="1" applyFill="1" applyBorder="1" applyAlignment="1">
      <alignment horizontal="center" wrapText="1" shrinkToFit="1"/>
    </xf>
    <xf numFmtId="43" fontId="18" fillId="9" borderId="42" xfId="1" applyFont="1" applyFill="1" applyBorder="1" applyAlignment="1">
      <alignment horizontal="center" wrapText="1" shrinkToFit="1"/>
    </xf>
    <xf numFmtId="43" fontId="18" fillId="9" borderId="41" xfId="1" applyFont="1" applyFill="1" applyBorder="1" applyAlignment="1">
      <alignment wrapText="1" shrinkToFit="1"/>
    </xf>
    <xf numFmtId="43" fontId="18" fillId="9" borderId="30" xfId="1" applyFont="1" applyFill="1" applyBorder="1" applyAlignment="1">
      <alignment wrapText="1" shrinkToFit="1"/>
    </xf>
    <xf numFmtId="43" fontId="18" fillId="9" borderId="31" xfId="1" applyFont="1" applyFill="1" applyBorder="1" applyAlignment="1">
      <alignment wrapText="1" shrinkToFit="1"/>
    </xf>
    <xf numFmtId="43" fontId="18" fillId="9" borderId="34" xfId="1" applyFont="1" applyFill="1" applyBorder="1" applyAlignment="1">
      <alignment wrapText="1" shrinkToFit="1"/>
    </xf>
    <xf numFmtId="43" fontId="11" fillId="0" borderId="43" xfId="3" applyNumberFormat="1" applyFont="1" applyBorder="1" applyAlignment="1">
      <alignment horizontal="center" wrapText="1" shrinkToFit="1"/>
    </xf>
    <xf numFmtId="14" fontId="11" fillId="0" borderId="28" xfId="3" applyNumberFormat="1" applyFont="1" applyBorder="1" applyAlignment="1">
      <alignment horizontal="right" shrinkToFit="1"/>
    </xf>
    <xf numFmtId="14" fontId="11" fillId="0" borderId="49" xfId="3" applyNumberFormat="1" applyFont="1" applyBorder="1" applyAlignment="1">
      <alignment horizontal="right" shrinkToFit="1"/>
    </xf>
    <xf numFmtId="43" fontId="23" fillId="9" borderId="46" xfId="1" applyFont="1" applyFill="1" applyBorder="1" applyAlignment="1">
      <alignment wrapText="1" shrinkToFit="1"/>
    </xf>
    <xf numFmtId="178" fontId="11" fillId="0" borderId="47" xfId="1" applyNumberFormat="1" applyFont="1" applyBorder="1" applyAlignment="1">
      <alignment wrapText="1" shrinkToFit="1"/>
    </xf>
    <xf numFmtId="43" fontId="11" fillId="0" borderId="48" xfId="1" applyFont="1" applyBorder="1" applyAlignment="1">
      <alignment wrapText="1" shrinkToFit="1"/>
    </xf>
    <xf numFmtId="0" fontId="11" fillId="0" borderId="46" xfId="5" applyFont="1" applyBorder="1" applyAlignment="1">
      <alignment horizontal="left" shrinkToFit="1"/>
    </xf>
    <xf numFmtId="43" fontId="18" fillId="0" borderId="51" xfId="1" applyFont="1" applyBorder="1" applyAlignment="1">
      <alignment wrapText="1" shrinkToFit="1"/>
    </xf>
    <xf numFmtId="43" fontId="18" fillId="0" borderId="44" xfId="1" applyFont="1" applyBorder="1" applyAlignment="1">
      <alignment wrapText="1" shrinkToFit="1"/>
    </xf>
    <xf numFmtId="43" fontId="18" fillId="0" borderId="45" xfId="1" applyFont="1" applyBorder="1" applyAlignment="1">
      <alignment horizontal="center" wrapText="1" shrinkToFit="1"/>
    </xf>
    <xf numFmtId="43" fontId="18" fillId="0" borderId="53" xfId="1" applyFont="1" applyBorder="1" applyAlignment="1">
      <alignment horizontal="center" wrapText="1" shrinkToFit="1"/>
    </xf>
    <xf numFmtId="43" fontId="18" fillId="0" borderId="52" xfId="1" applyFont="1" applyBorder="1" applyAlignment="1">
      <alignment wrapText="1" shrinkToFit="1"/>
    </xf>
    <xf numFmtId="43" fontId="18" fillId="0" borderId="45" xfId="1" applyFont="1" applyBorder="1" applyAlignment="1">
      <alignment wrapText="1" shrinkToFit="1"/>
    </xf>
    <xf numFmtId="43" fontId="18" fillId="0" borderId="46" xfId="1" applyFont="1" applyBorder="1" applyAlignment="1">
      <alignment wrapText="1" shrinkToFit="1"/>
    </xf>
    <xf numFmtId="43" fontId="18" fillId="0" borderId="49" xfId="1" applyFont="1" applyBorder="1" applyAlignment="1">
      <alignment wrapText="1" shrinkToFit="1"/>
    </xf>
    <xf numFmtId="178" fontId="11" fillId="0" borderId="46" xfId="3" applyNumberFormat="1" applyFont="1" applyBorder="1" applyAlignment="1">
      <alignment horizontal="left" shrinkToFit="1"/>
    </xf>
    <xf numFmtId="0" fontId="24" fillId="0" borderId="0" xfId="0" applyFont="1" applyAlignment="1">
      <alignment wrapText="1"/>
    </xf>
    <xf numFmtId="14" fontId="11" fillId="0" borderId="70" xfId="3" applyNumberFormat="1" applyFont="1" applyBorder="1" applyAlignment="1">
      <alignment horizontal="right" shrinkToFit="1"/>
    </xf>
    <xf numFmtId="43" fontId="11" fillId="0" borderId="65" xfId="1" applyFont="1" applyBorder="1" applyAlignment="1">
      <alignment wrapText="1" shrinkToFit="1"/>
    </xf>
    <xf numFmtId="43" fontId="11" fillId="0" borderId="66" xfId="1" applyFont="1" applyBorder="1" applyAlignment="1">
      <alignment wrapText="1" shrinkToFit="1"/>
    </xf>
    <xf numFmtId="43" fontId="23" fillId="9" borderId="67" xfId="1" applyFont="1" applyFill="1" applyBorder="1" applyAlignment="1">
      <alignment wrapText="1" shrinkToFit="1"/>
    </xf>
    <xf numFmtId="43" fontId="11" fillId="0" borderId="68" xfId="1" applyFont="1" applyBorder="1" applyAlignment="1">
      <alignment wrapText="1" shrinkToFit="1"/>
    </xf>
    <xf numFmtId="178" fontId="11" fillId="0" borderId="68" xfId="1" applyNumberFormat="1" applyFont="1" applyBorder="1" applyAlignment="1">
      <alignment wrapText="1" shrinkToFit="1"/>
    </xf>
    <xf numFmtId="43" fontId="11" fillId="0" borderId="69" xfId="1" applyFont="1" applyBorder="1" applyAlignment="1">
      <alignment wrapText="1" shrinkToFit="1"/>
    </xf>
    <xf numFmtId="43" fontId="11" fillId="0" borderId="70" xfId="1" applyFont="1" applyBorder="1" applyAlignment="1">
      <alignment wrapText="1" shrinkToFit="1"/>
    </xf>
    <xf numFmtId="43" fontId="11" fillId="0" borderId="71" xfId="1" applyFont="1" applyBorder="1" applyAlignment="1">
      <alignment wrapText="1" shrinkToFit="1"/>
    </xf>
    <xf numFmtId="43" fontId="18" fillId="0" borderId="73" xfId="1" applyFont="1" applyBorder="1" applyAlignment="1">
      <alignment wrapText="1" shrinkToFit="1"/>
    </xf>
    <xf numFmtId="43" fontId="18" fillId="0" borderId="65" xfId="1" applyFont="1" applyBorder="1" applyAlignment="1">
      <alignment wrapText="1" shrinkToFit="1"/>
    </xf>
    <xf numFmtId="43" fontId="18" fillId="0" borderId="66" xfId="1" applyFont="1" applyBorder="1" applyAlignment="1">
      <alignment horizontal="center" wrapText="1" shrinkToFit="1"/>
    </xf>
    <xf numFmtId="43" fontId="18" fillId="0" borderId="95" xfId="1" applyFont="1" applyBorder="1" applyAlignment="1">
      <alignment horizontal="center" wrapText="1" shrinkToFit="1"/>
    </xf>
    <xf numFmtId="43" fontId="18" fillId="0" borderId="74" xfId="1" applyFont="1" applyBorder="1" applyAlignment="1">
      <alignment wrapText="1" shrinkToFit="1"/>
    </xf>
    <xf numFmtId="43" fontId="18" fillId="0" borderId="66" xfId="1" applyFont="1" applyBorder="1" applyAlignment="1">
      <alignment wrapText="1" shrinkToFit="1"/>
    </xf>
    <xf numFmtId="43" fontId="18" fillId="0" borderId="67" xfId="1" applyFont="1" applyBorder="1" applyAlignment="1">
      <alignment wrapText="1" shrinkToFit="1"/>
    </xf>
    <xf numFmtId="43" fontId="18" fillId="0" borderId="70" xfId="1" applyFont="1" applyBorder="1" applyAlignment="1">
      <alignment wrapText="1" shrinkToFit="1"/>
    </xf>
    <xf numFmtId="43" fontId="23" fillId="9" borderId="75" xfId="3" applyNumberFormat="1" applyFont="1" applyFill="1" applyBorder="1" applyAlignment="1">
      <alignment horizontal="left"/>
    </xf>
    <xf numFmtId="43" fontId="23" fillId="9" borderId="76" xfId="3" applyNumberFormat="1" applyFont="1" applyFill="1" applyBorder="1"/>
    <xf numFmtId="43" fontId="23" fillId="9" borderId="100" xfId="3" applyNumberFormat="1" applyFont="1" applyFill="1" applyBorder="1"/>
    <xf numFmtId="43" fontId="23" fillId="10" borderId="77" xfId="1" applyFont="1" applyFill="1" applyBorder="1" applyAlignment="1">
      <alignment wrapText="1" shrinkToFit="1"/>
    </xf>
    <xf numFmtId="43" fontId="23" fillId="10" borderId="78" xfId="1" applyFont="1" applyFill="1" applyBorder="1" applyAlignment="1">
      <alignment wrapText="1" shrinkToFit="1"/>
    </xf>
    <xf numFmtId="43" fontId="23" fillId="10" borderId="79" xfId="1" applyFont="1" applyFill="1" applyBorder="1" applyAlignment="1">
      <alignment wrapText="1" shrinkToFit="1"/>
    </xf>
    <xf numFmtId="43" fontId="23" fillId="10" borderId="80" xfId="1" applyFont="1" applyFill="1" applyBorder="1" applyAlignment="1">
      <alignment wrapText="1" shrinkToFit="1"/>
    </xf>
    <xf numFmtId="43" fontId="23" fillId="10" borderId="81" xfId="1" applyFont="1" applyFill="1" applyBorder="1" applyAlignment="1">
      <alignment wrapText="1" shrinkToFit="1"/>
    </xf>
    <xf numFmtId="43" fontId="23" fillId="10" borderId="82" xfId="1" applyFont="1" applyFill="1" applyBorder="1" applyAlignment="1">
      <alignment wrapText="1" shrinkToFit="1"/>
    </xf>
    <xf numFmtId="43" fontId="11" fillId="10" borderId="83" xfId="1" applyFont="1" applyFill="1" applyBorder="1" applyAlignment="1">
      <alignment wrapText="1" shrinkToFit="1"/>
    </xf>
    <xf numFmtId="43" fontId="11" fillId="10" borderId="82" xfId="1" applyFont="1" applyFill="1" applyBorder="1" applyAlignment="1">
      <alignment wrapText="1" shrinkToFit="1"/>
    </xf>
    <xf numFmtId="43" fontId="11" fillId="10" borderId="84" xfId="1" applyFont="1" applyFill="1" applyBorder="1" applyAlignment="1">
      <alignment wrapText="1" shrinkToFit="1"/>
    </xf>
    <xf numFmtId="43" fontId="23" fillId="10" borderId="86" xfId="1" applyFont="1" applyFill="1" applyBorder="1" applyAlignment="1">
      <alignment wrapText="1" shrinkToFit="1"/>
    </xf>
    <xf numFmtId="43" fontId="23" fillId="10" borderId="79" xfId="1" applyFont="1" applyFill="1" applyBorder="1" applyAlignment="1">
      <alignment horizontal="left" wrapText="1" shrinkToFit="1"/>
    </xf>
    <xf numFmtId="43" fontId="18" fillId="10" borderId="86" xfId="1" applyFont="1" applyFill="1" applyBorder="1" applyAlignment="1">
      <alignment wrapText="1" shrinkToFit="1"/>
    </xf>
    <xf numFmtId="43" fontId="18" fillId="10" borderId="77" xfId="1" applyFont="1" applyFill="1" applyBorder="1" applyAlignment="1">
      <alignment wrapText="1" shrinkToFit="1"/>
    </xf>
    <xf numFmtId="43" fontId="18" fillId="10" borderId="78" xfId="1" applyFont="1" applyFill="1" applyBorder="1" applyAlignment="1">
      <alignment horizontal="center" wrapText="1" shrinkToFit="1"/>
    </xf>
    <xf numFmtId="43" fontId="18" fillId="10" borderId="101" xfId="1" applyFont="1" applyFill="1" applyBorder="1" applyAlignment="1">
      <alignment horizontal="center" wrapText="1" shrinkToFit="1"/>
    </xf>
    <xf numFmtId="43" fontId="18" fillId="10" borderId="87" xfId="1" applyFont="1" applyFill="1" applyBorder="1" applyAlignment="1">
      <alignment wrapText="1" shrinkToFit="1"/>
    </xf>
    <xf numFmtId="43" fontId="18" fillId="10" borderId="78" xfId="1" applyFont="1" applyFill="1" applyBorder="1" applyAlignment="1">
      <alignment wrapText="1" shrinkToFit="1"/>
    </xf>
    <xf numFmtId="43" fontId="18" fillId="10" borderId="79" xfId="1" applyFont="1" applyFill="1" applyBorder="1" applyAlignment="1">
      <alignment wrapText="1" shrinkToFit="1"/>
    </xf>
    <xf numFmtId="43" fontId="18" fillId="10" borderId="82" xfId="1" applyFont="1" applyFill="1" applyBorder="1" applyAlignment="1">
      <alignment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43" fontId="10" fillId="8" borderId="89" xfId="3" applyNumberFormat="1" applyFont="1" applyFill="1" applyBorder="1" applyAlignment="1">
      <alignment horizontal="center" vertical="center" wrapText="1" shrinkToFit="1"/>
    </xf>
    <xf numFmtId="43" fontId="10" fillId="8" borderId="90" xfId="3" applyNumberFormat="1" applyFont="1" applyFill="1" applyBorder="1" applyAlignment="1">
      <alignment horizontal="center" vertical="center" wrapText="1" shrinkToFit="1"/>
    </xf>
    <xf numFmtId="43" fontId="10" fillId="8" borderId="9" xfId="3" applyNumberFormat="1" applyFont="1" applyFill="1" applyBorder="1" applyAlignment="1">
      <alignment horizontal="center" vertical="center" wrapText="1" shrinkToFit="1"/>
    </xf>
    <xf numFmtId="43" fontId="10" fillId="11" borderId="89" xfId="3" applyNumberFormat="1" applyFont="1" applyFill="1" applyBorder="1" applyAlignment="1">
      <alignment horizontal="center" vertical="center" wrapText="1" shrinkToFit="1"/>
    </xf>
    <xf numFmtId="43" fontId="10" fillId="11" borderId="90" xfId="3" applyNumberFormat="1" applyFont="1" applyFill="1" applyBorder="1" applyAlignment="1">
      <alignment horizontal="center" vertical="center" wrapText="1" shrinkToFit="1"/>
    </xf>
    <xf numFmtId="43" fontId="10" fillId="11" borderId="9" xfId="3" applyNumberFormat="1" applyFont="1" applyFill="1" applyBorder="1" applyAlignment="1">
      <alignment horizontal="center" vertical="center" wrapText="1" shrinkToFit="1"/>
    </xf>
    <xf numFmtId="43" fontId="10" fillId="3" borderId="3" xfId="3" applyNumberFormat="1" applyFont="1" applyFill="1" applyBorder="1" applyAlignment="1">
      <alignment horizontal="center" vertical="center" shrinkToFit="1"/>
    </xf>
    <xf numFmtId="43" fontId="10" fillId="3" borderId="9" xfId="3" applyNumberFormat="1" applyFont="1" applyFill="1" applyBorder="1" applyAlignment="1">
      <alignment horizontal="center" vertical="center" shrinkToFit="1"/>
    </xf>
    <xf numFmtId="43" fontId="10" fillId="3" borderId="4" xfId="3" applyNumberFormat="1" applyFont="1" applyFill="1" applyBorder="1" applyAlignment="1">
      <alignment horizontal="center" vertical="center" shrinkToFit="1"/>
    </xf>
    <xf numFmtId="43" fontId="10" fillId="3" borderId="11" xfId="3" applyNumberFormat="1" applyFont="1" applyFill="1" applyBorder="1" applyAlignment="1">
      <alignment horizontal="center" vertical="center" shrinkToFit="1"/>
    </xf>
    <xf numFmtId="43" fontId="10" fillId="4" borderId="1" xfId="3" applyNumberFormat="1" applyFont="1" applyFill="1" applyBorder="1" applyAlignment="1">
      <alignment horizontal="center" vertical="center" wrapText="1" shrinkToFit="1"/>
    </xf>
    <xf numFmtId="43" fontId="10" fillId="4" borderId="4" xfId="3" applyNumberFormat="1" applyFont="1" applyFill="1" applyBorder="1" applyAlignment="1">
      <alignment horizontal="center" vertical="center" wrapText="1" shrinkToFit="1"/>
    </xf>
    <xf numFmtId="43" fontId="10" fillId="4" borderId="10" xfId="3" applyNumberFormat="1" applyFont="1" applyFill="1" applyBorder="1" applyAlignment="1">
      <alignment horizontal="center" vertical="center" wrapText="1" shrinkToFit="1"/>
    </xf>
    <xf numFmtId="43" fontId="10" fillId="2" borderId="3" xfId="0" applyNumberFormat="1" applyFont="1" applyFill="1" applyBorder="1" applyAlignment="1">
      <alignment horizontal="center" vertical="center" wrapText="1" shrinkToFit="1"/>
    </xf>
    <xf numFmtId="43" fontId="10" fillId="2" borderId="14" xfId="0" applyNumberFormat="1" applyFont="1" applyFill="1" applyBorder="1" applyAlignment="1">
      <alignment horizontal="center" vertical="center" wrapText="1" shrinkToFit="1"/>
    </xf>
    <xf numFmtId="43" fontId="10" fillId="2" borderId="4" xfId="0" applyNumberFormat="1" applyFont="1" applyFill="1" applyBorder="1" applyAlignment="1">
      <alignment horizontal="center" vertical="center" wrapText="1" shrinkToFit="1"/>
    </xf>
    <xf numFmtId="43" fontId="10" fillId="2" borderId="15" xfId="0" applyNumberFormat="1" applyFont="1" applyFill="1" applyBorder="1" applyAlignment="1">
      <alignment horizontal="center" vertical="center" wrapText="1" shrinkToFit="1"/>
    </xf>
    <xf numFmtId="0" fontId="10" fillId="0" borderId="8" xfId="0" applyFont="1" applyBorder="1" applyAlignment="1">
      <alignment horizontal="center" vertical="center" wrapText="1" shrinkToFit="1"/>
    </xf>
    <xf numFmtId="0" fontId="10" fillId="0" borderId="20" xfId="0" applyFont="1" applyBorder="1" applyAlignment="1">
      <alignment horizontal="center" vertical="center" wrapText="1" shrinkToFit="1"/>
    </xf>
    <xf numFmtId="43" fontId="10" fillId="5" borderId="9" xfId="3" applyNumberFormat="1" applyFont="1" applyFill="1" applyBorder="1" applyAlignment="1">
      <alignment horizontal="center" vertical="center" wrapText="1" shrinkToFit="1"/>
    </xf>
    <xf numFmtId="43" fontId="10" fillId="5" borderId="90" xfId="3" applyNumberFormat="1" applyFont="1" applyFill="1" applyBorder="1" applyAlignment="1">
      <alignment horizontal="center" vertical="center" wrapText="1" shrinkToFit="1"/>
    </xf>
    <xf numFmtId="43" fontId="10" fillId="5" borderId="11" xfId="3" applyNumberFormat="1" applyFont="1" applyFill="1" applyBorder="1" applyAlignment="1">
      <alignment horizontal="center" vertical="center" wrapText="1" shrinkToFit="1"/>
    </xf>
    <xf numFmtId="43" fontId="10" fillId="6" borderId="1" xfId="3" applyNumberFormat="1" applyFont="1" applyFill="1" applyBorder="1" applyAlignment="1">
      <alignment horizontal="center" vertical="center" wrapText="1" shrinkToFit="1"/>
    </xf>
    <xf numFmtId="43" fontId="10" fillId="6" borderId="4" xfId="3" applyNumberFormat="1" applyFont="1" applyFill="1" applyBorder="1" applyAlignment="1">
      <alignment horizontal="center" vertical="center" wrapText="1" shrinkToFit="1"/>
    </xf>
    <xf numFmtId="43" fontId="10" fillId="6" borderId="10" xfId="3" applyNumberFormat="1" applyFont="1" applyFill="1" applyBorder="1" applyAlignment="1">
      <alignment horizontal="center" vertical="center" wrapText="1" shrinkToFit="1"/>
    </xf>
    <xf numFmtId="43" fontId="10" fillId="7" borderId="9" xfId="3" applyNumberFormat="1" applyFont="1" applyFill="1" applyBorder="1" applyAlignment="1">
      <alignment horizontal="center" vertical="center" wrapText="1" shrinkToFit="1"/>
    </xf>
    <xf numFmtId="43" fontId="10" fillId="7" borderId="10" xfId="3" applyNumberFormat="1" applyFont="1" applyFill="1" applyBorder="1" applyAlignment="1">
      <alignment horizontal="center" vertical="center" wrapText="1" shrinkToFit="1"/>
    </xf>
    <xf numFmtId="43" fontId="10" fillId="12" borderId="9" xfId="3" applyNumberFormat="1" applyFont="1" applyFill="1" applyBorder="1" applyAlignment="1">
      <alignment horizontal="center" vertical="center" wrapText="1" shrinkToFit="1"/>
    </xf>
    <xf numFmtId="43" fontId="10" fillId="12" borderId="10" xfId="3" applyNumberFormat="1" applyFont="1" applyFill="1" applyBorder="1" applyAlignment="1">
      <alignment horizontal="center" vertical="center" wrapText="1" shrinkToFit="1"/>
    </xf>
    <xf numFmtId="43" fontId="10" fillId="4" borderId="4" xfId="1" applyFont="1" applyFill="1" applyBorder="1" applyAlignment="1">
      <alignment horizontal="center" vertical="center" wrapText="1" shrinkToFit="1"/>
    </xf>
    <xf numFmtId="43" fontId="10" fillId="4" borderId="15" xfId="1" applyFont="1" applyFill="1" applyBorder="1" applyAlignment="1">
      <alignment horizontal="center" vertical="center" wrapText="1" shrinkToFit="1"/>
    </xf>
    <xf numFmtId="43" fontId="10" fillId="5" borderId="4" xfId="1" applyFont="1" applyFill="1" applyBorder="1" applyAlignment="1">
      <alignment horizontal="center" vertical="center" wrapText="1" shrinkToFit="1"/>
    </xf>
    <xf numFmtId="43" fontId="10" fillId="5" borderId="15" xfId="1" applyFont="1" applyFill="1" applyBorder="1" applyAlignment="1">
      <alignment horizontal="center" vertical="center" wrapText="1" shrinkToFit="1"/>
    </xf>
    <xf numFmtId="43" fontId="10" fillId="6" borderId="4" xfId="1" applyFont="1" applyFill="1" applyBorder="1" applyAlignment="1">
      <alignment horizontal="center" vertical="center" wrapText="1" shrinkToFit="1"/>
    </xf>
    <xf numFmtId="43" fontId="10" fillId="6" borderId="15" xfId="1" applyFont="1" applyFill="1" applyBorder="1" applyAlignment="1">
      <alignment horizontal="center" vertical="center" wrapText="1" shrinkToFit="1"/>
    </xf>
    <xf numFmtId="43" fontId="10" fillId="7" borderId="4" xfId="3" applyNumberFormat="1" applyFont="1" applyFill="1" applyBorder="1" applyAlignment="1">
      <alignment horizontal="center" vertical="center" wrapText="1" shrinkToFit="1"/>
    </xf>
    <xf numFmtId="43" fontId="10" fillId="7" borderId="15" xfId="3" applyNumberFormat="1" applyFont="1" applyFill="1" applyBorder="1" applyAlignment="1">
      <alignment horizontal="center" vertical="center" wrapText="1" shrinkToFit="1"/>
    </xf>
    <xf numFmtId="43" fontId="10" fillId="8" borderId="4" xfId="3" applyNumberFormat="1" applyFont="1" applyFill="1" applyBorder="1" applyAlignment="1">
      <alignment horizontal="center" vertical="center" wrapText="1" shrinkToFit="1"/>
    </xf>
    <xf numFmtId="43" fontId="10" fillId="8" borderId="15" xfId="3" applyNumberFormat="1" applyFont="1" applyFill="1" applyBorder="1" applyAlignment="1">
      <alignment horizontal="center" vertical="center" wrapText="1" shrinkToFit="1"/>
    </xf>
    <xf numFmtId="43" fontId="10" fillId="9" borderId="2" xfId="0" applyNumberFormat="1" applyFont="1" applyFill="1" applyBorder="1" applyAlignment="1">
      <alignment horizontal="center" vertical="center" wrapText="1" shrinkToFit="1"/>
    </xf>
    <xf numFmtId="43" fontId="10" fillId="9" borderId="13" xfId="0" applyNumberFormat="1" applyFont="1" applyFill="1" applyBorder="1" applyAlignment="1">
      <alignment horizontal="center" vertical="center" wrapText="1" shrinkToFit="1"/>
    </xf>
    <xf numFmtId="177" fontId="10" fillId="0" borderId="5" xfId="0" applyNumberFormat="1" applyFont="1" applyBorder="1" applyAlignment="1">
      <alignment horizontal="center" vertical="center" wrapText="1" shrinkToFit="1"/>
    </xf>
    <xf numFmtId="177" fontId="10" fillId="0" borderId="16" xfId="0" applyNumberFormat="1" applyFont="1" applyBorder="1" applyAlignment="1">
      <alignment horizontal="center" vertical="center" wrapText="1" shrinkToFit="1"/>
    </xf>
    <xf numFmtId="178" fontId="10" fillId="0" borderId="5" xfId="0" applyNumberFormat="1" applyFont="1" applyBorder="1" applyAlignment="1">
      <alignment horizontal="center" vertical="center" wrapText="1" shrinkToFit="1"/>
    </xf>
    <xf numFmtId="178" fontId="10" fillId="0" borderId="16" xfId="0" applyNumberFormat="1" applyFont="1" applyBorder="1" applyAlignment="1">
      <alignment horizontal="center" vertical="center" wrapText="1" shrinkToFit="1"/>
    </xf>
    <xf numFmtId="177" fontId="10" fillId="2" borderId="6" xfId="0" applyNumberFormat="1" applyFont="1" applyFill="1" applyBorder="1" applyAlignment="1">
      <alignment horizontal="center" vertical="center" wrapText="1" shrinkToFit="1"/>
    </xf>
    <xf numFmtId="177" fontId="10" fillId="2" borderId="17" xfId="0" applyNumberFormat="1" applyFont="1" applyFill="1" applyBorder="1" applyAlignment="1">
      <alignment horizontal="center" vertical="center" wrapText="1" shrinkToFit="1"/>
    </xf>
    <xf numFmtId="179" fontId="10" fillId="9" borderId="5" xfId="0" applyNumberFormat="1" applyFont="1" applyFill="1" applyBorder="1" applyAlignment="1">
      <alignment horizontal="center" vertical="center" wrapText="1" shrinkToFit="1"/>
    </xf>
    <xf numFmtId="179" fontId="10" fillId="9" borderId="68" xfId="0" applyNumberFormat="1" applyFont="1" applyFill="1" applyBorder="1" applyAlignment="1">
      <alignment horizontal="center" vertical="center" wrapText="1" shrinkToFit="1"/>
    </xf>
    <xf numFmtId="0" fontId="10" fillId="2" borderId="1" xfId="3" applyFont="1" applyFill="1" applyBorder="1" applyAlignment="1">
      <alignment horizontal="center" vertical="center" wrapText="1" shrinkToFit="1"/>
    </xf>
    <xf numFmtId="0" fontId="10" fillId="2" borderId="12" xfId="3" applyFont="1" applyFill="1" applyBorder="1" applyAlignment="1">
      <alignment horizontal="center" vertical="center" wrapText="1" shrinkToFit="1"/>
    </xf>
    <xf numFmtId="176" fontId="10" fillId="2" borderId="2" xfId="3" applyNumberFormat="1" applyFont="1" applyFill="1" applyBorder="1" applyAlignment="1">
      <alignment horizontal="center" vertical="center" wrapText="1" shrinkToFit="1"/>
    </xf>
    <xf numFmtId="176" fontId="10" fillId="2" borderId="13" xfId="3" applyNumberFormat="1" applyFont="1" applyFill="1" applyBorder="1" applyAlignment="1">
      <alignment horizontal="center" vertical="center" wrapText="1" shrinkToFit="1"/>
    </xf>
    <xf numFmtId="176" fontId="10" fillId="11" borderId="88" xfId="3" applyNumberFormat="1" applyFont="1" applyFill="1" applyBorder="1" applyAlignment="1">
      <alignment horizontal="center" vertical="center" wrapText="1" shrinkToFit="1"/>
    </xf>
    <xf numFmtId="176" fontId="10" fillId="11" borderId="91" xfId="3" applyNumberFormat="1" applyFont="1" applyFill="1" applyBorder="1" applyAlignment="1">
      <alignment horizontal="center" vertical="center" wrapText="1" shrinkToFit="1"/>
    </xf>
    <xf numFmtId="43" fontId="10" fillId="3" borderId="3" xfId="1" applyFont="1" applyFill="1" applyBorder="1" applyAlignment="1">
      <alignment horizontal="center" vertical="center" wrapText="1" shrinkToFit="1"/>
    </xf>
    <xf numFmtId="43" fontId="10" fillId="3" borderId="14" xfId="1" applyFont="1" applyFill="1" applyBorder="1" applyAlignment="1">
      <alignment horizontal="center" vertical="center" wrapText="1" shrinkToFit="1"/>
    </xf>
    <xf numFmtId="0" fontId="28" fillId="13" borderId="102" xfId="0" applyFont="1" applyFill="1" applyBorder="1" applyAlignment="1">
      <alignment horizontal="center" vertical="center"/>
    </xf>
    <xf numFmtId="43" fontId="28" fillId="13" borderId="0" xfId="0" applyNumberFormat="1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11" fillId="9" borderId="24" xfId="3" applyFont="1" applyFill="1" applyBorder="1" applyAlignment="1">
      <alignment horizontal="center" vertical="center" wrapText="1" shrinkToFit="1"/>
    </xf>
    <xf numFmtId="0" fontId="11" fillId="9" borderId="25" xfId="3" applyFont="1" applyFill="1" applyBorder="1" applyAlignment="1">
      <alignment horizontal="left" vertical="center" wrapText="1" shrinkToFit="1"/>
    </xf>
    <xf numFmtId="43" fontId="1" fillId="8" borderId="3" xfId="3" applyNumberFormat="1" applyFont="1" applyFill="1" applyBorder="1" applyAlignment="1">
      <alignment horizontal="center" vertical="center" wrapText="1" shrinkToFit="1"/>
    </xf>
    <xf numFmtId="43" fontId="1" fillId="8" borderId="9" xfId="3" applyNumberFormat="1" applyFont="1" applyFill="1" applyBorder="1" applyAlignment="1">
      <alignment horizontal="center" vertical="center" wrapText="1" shrinkToFit="1"/>
    </xf>
    <xf numFmtId="43" fontId="1" fillId="8" borderId="4" xfId="3" applyNumberFormat="1" applyFont="1" applyFill="1" applyBorder="1" applyAlignment="1">
      <alignment horizontal="center" vertical="center" wrapText="1" shrinkToFit="1"/>
    </xf>
    <xf numFmtId="43" fontId="1" fillId="8" borderId="10" xfId="3" applyNumberFormat="1" applyFont="1" applyFill="1" applyBorder="1" applyAlignment="1">
      <alignment horizontal="center" vertical="center" wrapText="1" shrinkToFit="1"/>
    </xf>
    <xf numFmtId="43" fontId="1" fillId="3" borderId="3" xfId="3" applyNumberFormat="1" applyFont="1" applyFill="1" applyBorder="1" applyAlignment="1">
      <alignment horizontal="center" vertical="center" shrinkToFit="1"/>
    </xf>
    <xf numFmtId="43" fontId="1" fillId="3" borderId="9" xfId="3" applyNumberFormat="1" applyFont="1" applyFill="1" applyBorder="1" applyAlignment="1">
      <alignment horizontal="center" vertical="center" shrinkToFit="1"/>
    </xf>
    <xf numFmtId="43" fontId="1" fillId="3" borderId="4" xfId="3" applyNumberFormat="1" applyFont="1" applyFill="1" applyBorder="1" applyAlignment="1">
      <alignment horizontal="center" vertical="center" shrinkToFit="1"/>
    </xf>
    <xf numFmtId="43" fontId="1" fillId="3" borderId="11" xfId="3" applyNumberFormat="1" applyFont="1" applyFill="1" applyBorder="1" applyAlignment="1">
      <alignment horizontal="center" vertical="center" shrinkToFit="1"/>
    </xf>
    <xf numFmtId="43" fontId="1" fillId="4" borderId="1" xfId="3" applyNumberFormat="1" applyFont="1" applyFill="1" applyBorder="1" applyAlignment="1">
      <alignment horizontal="center" vertical="center" wrapText="1" shrinkToFit="1"/>
    </xf>
    <xf numFmtId="43" fontId="1" fillId="4" borderId="4" xfId="3" applyNumberFormat="1" applyFont="1" applyFill="1" applyBorder="1" applyAlignment="1">
      <alignment horizontal="center" vertical="center" wrapText="1" shrinkToFit="1"/>
    </xf>
    <xf numFmtId="43" fontId="1" fillId="4" borderId="10" xfId="3" applyNumberFormat="1" applyFont="1" applyFill="1" applyBorder="1" applyAlignment="1">
      <alignment horizontal="center" vertical="center" wrapText="1" shrinkToFit="1"/>
    </xf>
    <xf numFmtId="43" fontId="1" fillId="5" borderId="9" xfId="3" applyNumberFormat="1" applyFont="1" applyFill="1" applyBorder="1" applyAlignment="1">
      <alignment horizontal="center" vertical="center" wrapText="1" shrinkToFit="1"/>
    </xf>
    <xf numFmtId="43" fontId="1" fillId="5" borderId="11" xfId="3" applyNumberFormat="1" applyFont="1" applyFill="1" applyBorder="1" applyAlignment="1">
      <alignment horizontal="center" vertical="center" wrapText="1" shrinkToFit="1"/>
    </xf>
    <xf numFmtId="43" fontId="1" fillId="6" borderId="1" xfId="3" applyNumberFormat="1" applyFont="1" applyFill="1" applyBorder="1" applyAlignment="1">
      <alignment horizontal="center" vertical="center" wrapText="1" shrinkToFit="1"/>
    </xf>
    <xf numFmtId="43" fontId="1" fillId="6" borderId="4" xfId="3" applyNumberFormat="1" applyFont="1" applyFill="1" applyBorder="1" applyAlignment="1">
      <alignment horizontal="center" vertical="center" wrapText="1" shrinkToFit="1"/>
    </xf>
    <xf numFmtId="43" fontId="1" fillId="6" borderId="10" xfId="3" applyNumberFormat="1" applyFont="1" applyFill="1" applyBorder="1" applyAlignment="1">
      <alignment horizontal="center" vertical="center" wrapText="1" shrinkToFit="1"/>
    </xf>
    <xf numFmtId="43" fontId="1" fillId="7" borderId="9" xfId="3" applyNumberFormat="1" applyFont="1" applyFill="1" applyBorder="1" applyAlignment="1">
      <alignment horizontal="center" vertical="center" wrapText="1" shrinkToFit="1"/>
    </xf>
    <xf numFmtId="43" fontId="1" fillId="7" borderId="4" xfId="3" applyNumberFormat="1" applyFont="1" applyFill="1" applyBorder="1" applyAlignment="1">
      <alignment horizontal="center" vertical="center" wrapText="1" shrinkToFit="1"/>
    </xf>
    <xf numFmtId="43" fontId="1" fillId="7" borderId="10" xfId="3" applyNumberFormat="1" applyFont="1" applyFill="1" applyBorder="1" applyAlignment="1">
      <alignment horizontal="center" vertical="center" wrapText="1" shrinkToFit="1"/>
    </xf>
    <xf numFmtId="0" fontId="3" fillId="9" borderId="24" xfId="3" applyFont="1" applyFill="1" applyBorder="1" applyAlignment="1">
      <alignment horizontal="left" vertical="center" wrapText="1" shrinkToFit="1"/>
    </xf>
    <xf numFmtId="0" fontId="3" fillId="9" borderId="25" xfId="3" applyFont="1" applyFill="1" applyBorder="1" applyAlignment="1">
      <alignment horizontal="left" vertical="center" wrapText="1" shrinkToFit="1"/>
    </xf>
    <xf numFmtId="0" fontId="1" fillId="10" borderId="54" xfId="3" applyFont="1" applyFill="1" applyBorder="1" applyAlignment="1">
      <alignment horizontal="center" vertical="center" wrapText="1" shrinkToFit="1"/>
    </xf>
    <xf numFmtId="181" fontId="1" fillId="10" borderId="55" xfId="3" applyNumberFormat="1" applyFont="1" applyFill="1" applyBorder="1" applyAlignment="1">
      <alignment horizontal="center" vertical="center" wrapText="1" shrinkToFit="1"/>
    </xf>
    <xf numFmtId="0" fontId="1" fillId="2" borderId="1" xfId="3" applyFont="1" applyFill="1" applyBorder="1" applyAlignment="1">
      <alignment horizontal="center" vertical="center" wrapText="1" shrinkToFit="1"/>
    </xf>
    <xf numFmtId="0" fontId="1" fillId="2" borderId="12" xfId="3" applyFont="1" applyFill="1" applyBorder="1" applyAlignment="1">
      <alignment horizontal="center" vertical="center" wrapText="1" shrinkToFit="1"/>
    </xf>
    <xf numFmtId="176" fontId="1" fillId="2" borderId="2" xfId="3" applyNumberFormat="1" applyFont="1" applyFill="1" applyBorder="1" applyAlignment="1">
      <alignment horizontal="center" vertical="center" wrapText="1" shrinkToFit="1"/>
    </xf>
    <xf numFmtId="176" fontId="1" fillId="2" borderId="13" xfId="3" applyNumberFormat="1" applyFont="1" applyFill="1" applyBorder="1" applyAlignment="1">
      <alignment horizontal="center" vertical="center" wrapText="1" shrinkToFit="1"/>
    </xf>
    <xf numFmtId="43" fontId="1" fillId="3" borderId="3" xfId="1" applyFont="1" applyFill="1" applyBorder="1" applyAlignment="1">
      <alignment horizontal="center" vertical="center" wrapText="1" shrinkToFit="1"/>
    </xf>
    <xf numFmtId="43" fontId="1" fillId="3" borderId="14" xfId="1" applyFont="1" applyFill="1" applyBorder="1" applyAlignment="1">
      <alignment horizontal="center" vertical="center" wrapText="1" shrinkToFit="1"/>
    </xf>
    <xf numFmtId="43" fontId="1" fillId="4" borderId="4" xfId="1" applyFont="1" applyFill="1" applyBorder="1" applyAlignment="1">
      <alignment horizontal="center" vertical="center" wrapText="1" shrinkToFit="1"/>
    </xf>
    <xf numFmtId="43" fontId="1" fillId="4" borderId="15" xfId="1" applyFont="1" applyFill="1" applyBorder="1" applyAlignment="1">
      <alignment horizontal="center" vertical="center" wrapText="1" shrinkToFit="1"/>
    </xf>
    <xf numFmtId="43" fontId="1" fillId="5" borderId="4" xfId="1" applyFont="1" applyFill="1" applyBorder="1" applyAlignment="1">
      <alignment horizontal="center" vertical="center" wrapText="1" shrinkToFit="1"/>
    </xf>
    <xf numFmtId="43" fontId="1" fillId="5" borderId="15" xfId="1" applyFont="1" applyFill="1" applyBorder="1" applyAlignment="1">
      <alignment horizontal="center" vertical="center" wrapText="1" shrinkToFit="1"/>
    </xf>
    <xf numFmtId="43" fontId="1" fillId="6" borderId="4" xfId="1" applyFont="1" applyFill="1" applyBorder="1" applyAlignment="1">
      <alignment horizontal="center" vertical="center" wrapText="1" shrinkToFit="1"/>
    </xf>
    <xf numFmtId="43" fontId="1" fillId="6" borderId="15" xfId="1" applyFont="1" applyFill="1" applyBorder="1" applyAlignment="1">
      <alignment horizontal="center" vertical="center" wrapText="1" shrinkToFit="1"/>
    </xf>
    <xf numFmtId="43" fontId="1" fillId="7" borderId="15" xfId="3" applyNumberFormat="1" applyFont="1" applyFill="1" applyBorder="1" applyAlignment="1">
      <alignment horizontal="center" vertical="center" wrapText="1" shrinkToFit="1"/>
    </xf>
    <xf numFmtId="43" fontId="1" fillId="8" borderId="15" xfId="3" applyNumberFormat="1" applyFont="1" applyFill="1" applyBorder="1" applyAlignment="1">
      <alignment horizontal="center" vertical="center" wrapText="1" shrinkToFit="1"/>
    </xf>
    <xf numFmtId="43" fontId="1" fillId="9" borderId="2" xfId="0" applyNumberFormat="1" applyFont="1" applyFill="1" applyBorder="1" applyAlignment="1">
      <alignment horizontal="center" vertical="center" wrapText="1" shrinkToFit="1"/>
    </xf>
    <xf numFmtId="43" fontId="1" fillId="9" borderId="13" xfId="0" applyNumberFormat="1" applyFont="1" applyFill="1" applyBorder="1" applyAlignment="1">
      <alignment horizontal="center" vertical="center" wrapText="1" shrinkToFit="1"/>
    </xf>
    <xf numFmtId="177" fontId="1" fillId="0" borderId="5" xfId="0" applyNumberFormat="1" applyFont="1" applyBorder="1" applyAlignment="1">
      <alignment horizontal="center" vertical="center" wrapText="1" shrinkToFit="1"/>
    </xf>
    <xf numFmtId="177" fontId="1" fillId="0" borderId="16" xfId="0" applyNumberFormat="1" applyFont="1" applyBorder="1" applyAlignment="1">
      <alignment horizontal="center" vertical="center" wrapText="1" shrinkToFit="1"/>
    </xf>
    <xf numFmtId="178" fontId="1" fillId="0" borderId="5" xfId="0" applyNumberFormat="1" applyFont="1" applyBorder="1" applyAlignment="1">
      <alignment horizontal="center" vertical="center" wrapText="1" shrinkToFit="1"/>
    </xf>
    <xf numFmtId="178" fontId="1" fillId="0" borderId="16" xfId="0" applyNumberFormat="1" applyFont="1" applyBorder="1" applyAlignment="1">
      <alignment horizontal="center" vertical="center" wrapText="1" shrinkToFit="1"/>
    </xf>
    <xf numFmtId="177" fontId="1" fillId="2" borderId="6" xfId="0" applyNumberFormat="1" applyFont="1" applyFill="1" applyBorder="1" applyAlignment="1">
      <alignment horizontal="center" vertical="center" wrapText="1" shrinkToFit="1"/>
    </xf>
    <xf numFmtId="177" fontId="1" fillId="2" borderId="17" xfId="0" applyNumberFormat="1" applyFont="1" applyFill="1" applyBorder="1" applyAlignment="1">
      <alignment horizontal="center" vertical="center" wrapText="1" shrinkToFit="1"/>
    </xf>
    <xf numFmtId="179" fontId="1" fillId="9" borderId="5" xfId="0" applyNumberFormat="1" applyFont="1" applyFill="1" applyBorder="1" applyAlignment="1">
      <alignment horizontal="center" vertical="center" wrapText="1" shrinkToFit="1"/>
    </xf>
    <xf numFmtId="179" fontId="1" fillId="9" borderId="16" xfId="0" applyNumberFormat="1" applyFont="1" applyFill="1" applyBorder="1" applyAlignment="1">
      <alignment horizontal="center" vertical="center" wrapText="1" shrinkToFit="1"/>
    </xf>
    <xf numFmtId="43" fontId="1" fillId="2" borderId="3" xfId="0" applyNumberFormat="1" applyFont="1" applyFill="1" applyBorder="1" applyAlignment="1">
      <alignment horizontal="center" vertical="center" wrapText="1" shrinkToFit="1"/>
    </xf>
    <xf numFmtId="43" fontId="1" fillId="2" borderId="14" xfId="0" applyNumberFormat="1" applyFont="1" applyFill="1" applyBorder="1" applyAlignment="1">
      <alignment horizontal="center" vertical="center" wrapText="1" shrinkToFit="1"/>
    </xf>
    <xf numFmtId="43" fontId="1" fillId="2" borderId="4" xfId="0" applyNumberFormat="1" applyFont="1" applyFill="1" applyBorder="1" applyAlignment="1">
      <alignment horizontal="center" vertical="center" wrapText="1" shrinkToFit="1"/>
    </xf>
    <xf numFmtId="43" fontId="1" fillId="2" borderId="15" xfId="0" applyNumberFormat="1" applyFont="1" applyFill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20" xfId="0" applyFont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  <xf numFmtId="0" fontId="49" fillId="0" borderId="0" xfId="2" applyFont="1" applyFill="1" applyAlignment="1" applyProtection="1">
      <alignment vertical="center" wrapText="1" shrinkToFit="1"/>
    </xf>
    <xf numFmtId="178" fontId="11" fillId="0" borderId="0" xfId="0" applyNumberFormat="1" applyFont="1" applyAlignment="1">
      <alignment horizontal="center" vertical="center" wrapText="1" shrinkToFit="1"/>
    </xf>
    <xf numFmtId="43" fontId="24" fillId="0" borderId="0" xfId="1" applyFont="1" applyAlignment="1">
      <alignment vertical="center" wrapText="1" shrinkToFit="1"/>
    </xf>
    <xf numFmtId="0" fontId="24" fillId="0" borderId="0" xfId="0" applyFont="1" applyAlignment="1">
      <alignment vertical="center" wrapText="1" shrinkToFit="1"/>
    </xf>
    <xf numFmtId="43" fontId="22" fillId="0" borderId="0" xfId="0" applyNumberFormat="1" applyFont="1" applyAlignment="1">
      <alignment vertical="center" wrapText="1" shrinkToFit="1"/>
    </xf>
    <xf numFmtId="0" fontId="24" fillId="0" borderId="0" xfId="0" applyFont="1" applyAlignment="1">
      <alignment horizontal="center" vertical="center" wrapText="1" shrinkToFit="1"/>
    </xf>
    <xf numFmtId="0" fontId="24" fillId="0" borderId="0" xfId="0" applyFont="1" applyAlignment="1">
      <alignment vertical="center" shrinkToFit="1"/>
    </xf>
    <xf numFmtId="176" fontId="50" fillId="2" borderId="2" xfId="3" applyNumberFormat="1" applyFont="1" applyFill="1" applyBorder="1" applyAlignment="1">
      <alignment horizontal="center" vertical="center" wrapText="1" shrinkToFit="1"/>
    </xf>
    <xf numFmtId="176" fontId="50" fillId="11" borderId="88" xfId="3" applyNumberFormat="1" applyFont="1" applyFill="1" applyBorder="1" applyAlignment="1">
      <alignment horizontal="center" vertical="center" wrapText="1" shrinkToFit="1"/>
    </xf>
    <xf numFmtId="43" fontId="50" fillId="3" borderId="3" xfId="1" applyFont="1" applyFill="1" applyBorder="1" applyAlignment="1">
      <alignment horizontal="center" vertical="center" wrapText="1" shrinkToFit="1"/>
    </xf>
    <xf numFmtId="43" fontId="50" fillId="4" borderId="4" xfId="1" applyFont="1" applyFill="1" applyBorder="1" applyAlignment="1">
      <alignment horizontal="center" vertical="center" wrapText="1" shrinkToFit="1"/>
    </xf>
    <xf numFmtId="43" fontId="50" fillId="5" borderId="4" xfId="1" applyFont="1" applyFill="1" applyBorder="1" applyAlignment="1">
      <alignment horizontal="center" vertical="center" wrapText="1" shrinkToFit="1"/>
    </xf>
    <xf numFmtId="43" fontId="50" fillId="6" borderId="4" xfId="1" applyFont="1" applyFill="1" applyBorder="1" applyAlignment="1">
      <alignment horizontal="center" vertical="center" wrapText="1" shrinkToFit="1"/>
    </xf>
    <xf numFmtId="43" fontId="50" fillId="7" borderId="4" xfId="3" applyNumberFormat="1" applyFont="1" applyFill="1" applyBorder="1" applyAlignment="1">
      <alignment horizontal="center" vertical="center" wrapText="1" shrinkToFit="1"/>
    </xf>
    <xf numFmtId="43" fontId="50" fillId="8" borderId="4" xfId="3" applyNumberFormat="1" applyFont="1" applyFill="1" applyBorder="1" applyAlignment="1">
      <alignment horizontal="center" vertical="center" wrapText="1" shrinkToFit="1"/>
    </xf>
    <xf numFmtId="43" fontId="50" fillId="9" borderId="2" xfId="0" applyNumberFormat="1" applyFont="1" applyFill="1" applyBorder="1" applyAlignment="1">
      <alignment horizontal="center" vertical="center" wrapText="1" shrinkToFit="1"/>
    </xf>
    <xf numFmtId="177" fontId="50" fillId="0" borderId="5" xfId="0" applyNumberFormat="1" applyFont="1" applyBorder="1" applyAlignment="1">
      <alignment horizontal="center" vertical="center" wrapText="1" shrinkToFit="1"/>
    </xf>
    <xf numFmtId="178" fontId="50" fillId="0" borderId="5" xfId="0" applyNumberFormat="1" applyFont="1" applyBorder="1" applyAlignment="1">
      <alignment horizontal="center" vertical="center" wrapText="1" shrinkToFit="1"/>
    </xf>
    <xf numFmtId="177" fontId="50" fillId="2" borderId="6" xfId="0" applyNumberFormat="1" applyFont="1" applyFill="1" applyBorder="1" applyAlignment="1">
      <alignment horizontal="center" vertical="center" wrapText="1" shrinkToFit="1"/>
    </xf>
    <xf numFmtId="0" fontId="50" fillId="2" borderId="7" xfId="0" applyFont="1" applyFill="1" applyBorder="1" applyAlignment="1">
      <alignment horizontal="center" vertical="center" wrapText="1" shrinkToFit="1"/>
    </xf>
    <xf numFmtId="179" fontId="50" fillId="9" borderId="5" xfId="0" applyNumberFormat="1" applyFont="1" applyFill="1" applyBorder="1" applyAlignment="1">
      <alignment horizontal="center" vertical="center" wrapText="1" shrinkToFit="1"/>
    </xf>
    <xf numFmtId="43" fontId="50" fillId="2" borderId="3" xfId="0" applyNumberFormat="1" applyFont="1" applyFill="1" applyBorder="1" applyAlignment="1">
      <alignment horizontal="center" vertical="center" wrapText="1" shrinkToFit="1"/>
    </xf>
    <xf numFmtId="43" fontId="50" fillId="2" borderId="4" xfId="0" applyNumberFormat="1" applyFont="1" applyFill="1" applyBorder="1" applyAlignment="1">
      <alignment horizontal="center" vertical="center" wrapText="1" shrinkToFit="1"/>
    </xf>
    <xf numFmtId="0" fontId="50" fillId="0" borderId="8" xfId="0" applyFont="1" applyBorder="1" applyAlignment="1">
      <alignment horizontal="center" vertical="center" wrapText="1" shrinkToFit="1"/>
    </xf>
    <xf numFmtId="43" fontId="50" fillId="8" borderId="89" xfId="3" applyNumberFormat="1" applyFont="1" applyFill="1" applyBorder="1" applyAlignment="1">
      <alignment horizontal="center" vertical="center" wrapText="1" shrinkToFit="1"/>
    </xf>
    <xf numFmtId="43" fontId="50" fillId="8" borderId="90" xfId="3" applyNumberFormat="1" applyFont="1" applyFill="1" applyBorder="1" applyAlignment="1">
      <alignment horizontal="center" vertical="center" wrapText="1" shrinkToFit="1"/>
    </xf>
    <xf numFmtId="43" fontId="50" fillId="8" borderId="9" xfId="3" applyNumberFormat="1" applyFont="1" applyFill="1" applyBorder="1" applyAlignment="1">
      <alignment horizontal="center" vertical="center" wrapText="1" shrinkToFit="1"/>
    </xf>
    <xf numFmtId="43" fontId="50" fillId="11" borderId="89" xfId="3" applyNumberFormat="1" applyFont="1" applyFill="1" applyBorder="1" applyAlignment="1">
      <alignment horizontal="center" vertical="center" wrapText="1" shrinkToFit="1"/>
    </xf>
    <xf numFmtId="43" fontId="50" fillId="11" borderId="90" xfId="3" applyNumberFormat="1" applyFont="1" applyFill="1" applyBorder="1" applyAlignment="1">
      <alignment horizontal="center" vertical="center" wrapText="1" shrinkToFit="1"/>
    </xf>
    <xf numFmtId="43" fontId="50" fillId="11" borderId="9" xfId="3" applyNumberFormat="1" applyFont="1" applyFill="1" applyBorder="1" applyAlignment="1">
      <alignment horizontal="center" vertical="center" wrapText="1" shrinkToFit="1"/>
    </xf>
    <xf numFmtId="43" fontId="50" fillId="3" borderId="3" xfId="3" applyNumberFormat="1" applyFont="1" applyFill="1" applyBorder="1" applyAlignment="1">
      <alignment horizontal="center" vertical="center" shrinkToFit="1"/>
    </xf>
    <xf numFmtId="43" fontId="50" fillId="3" borderId="9" xfId="3" applyNumberFormat="1" applyFont="1" applyFill="1" applyBorder="1" applyAlignment="1">
      <alignment horizontal="center" vertical="center" shrinkToFit="1"/>
    </xf>
    <xf numFmtId="43" fontId="50" fillId="3" borderId="4" xfId="3" applyNumberFormat="1" applyFont="1" applyFill="1" applyBorder="1" applyAlignment="1">
      <alignment horizontal="center" vertical="center" shrinkToFit="1"/>
    </xf>
    <xf numFmtId="43" fontId="50" fillId="3" borderId="11" xfId="3" applyNumberFormat="1" applyFont="1" applyFill="1" applyBorder="1" applyAlignment="1">
      <alignment horizontal="center" vertical="center" shrinkToFit="1"/>
    </xf>
    <xf numFmtId="43" fontId="50" fillId="4" borderId="1" xfId="3" applyNumberFormat="1" applyFont="1" applyFill="1" applyBorder="1" applyAlignment="1">
      <alignment horizontal="center" vertical="center" wrapText="1" shrinkToFit="1"/>
    </xf>
    <xf numFmtId="43" fontId="50" fillId="4" borderId="4" xfId="3" applyNumberFormat="1" applyFont="1" applyFill="1" applyBorder="1" applyAlignment="1">
      <alignment horizontal="center" vertical="center" wrapText="1" shrinkToFit="1"/>
    </xf>
    <xf numFmtId="43" fontId="50" fillId="4" borderId="10" xfId="3" applyNumberFormat="1" applyFont="1" applyFill="1" applyBorder="1" applyAlignment="1">
      <alignment horizontal="center" vertical="center" wrapText="1" shrinkToFit="1"/>
    </xf>
    <xf numFmtId="43" fontId="50" fillId="5" borderId="9" xfId="3" applyNumberFormat="1" applyFont="1" applyFill="1" applyBorder="1" applyAlignment="1">
      <alignment horizontal="center" vertical="center" wrapText="1" shrinkToFit="1"/>
    </xf>
    <xf numFmtId="43" fontId="50" fillId="5" borderId="90" xfId="3" applyNumberFormat="1" applyFont="1" applyFill="1" applyBorder="1" applyAlignment="1">
      <alignment horizontal="center" vertical="center" wrapText="1" shrinkToFit="1"/>
    </xf>
    <xf numFmtId="43" fontId="50" fillId="5" borderId="11" xfId="3" applyNumberFormat="1" applyFont="1" applyFill="1" applyBorder="1" applyAlignment="1">
      <alignment horizontal="center" vertical="center" wrapText="1" shrinkToFit="1"/>
    </xf>
    <xf numFmtId="43" fontId="50" fillId="6" borderId="1" xfId="3" applyNumberFormat="1" applyFont="1" applyFill="1" applyBorder="1" applyAlignment="1">
      <alignment horizontal="center" vertical="center" wrapText="1" shrinkToFit="1"/>
    </xf>
    <xf numFmtId="43" fontId="50" fillId="6" borderId="4" xfId="3" applyNumberFormat="1" applyFont="1" applyFill="1" applyBorder="1" applyAlignment="1">
      <alignment horizontal="center" vertical="center" wrapText="1" shrinkToFit="1"/>
    </xf>
    <xf numFmtId="43" fontId="50" fillId="6" borderId="10" xfId="3" applyNumberFormat="1" applyFont="1" applyFill="1" applyBorder="1" applyAlignment="1">
      <alignment horizontal="center" vertical="center" wrapText="1" shrinkToFit="1"/>
    </xf>
    <xf numFmtId="43" fontId="50" fillId="7" borderId="9" xfId="3" applyNumberFormat="1" applyFont="1" applyFill="1" applyBorder="1" applyAlignment="1">
      <alignment horizontal="center" vertical="center" wrapText="1" shrinkToFit="1"/>
    </xf>
    <xf numFmtId="43" fontId="50" fillId="7" borderId="10" xfId="3" applyNumberFormat="1" applyFont="1" applyFill="1" applyBorder="1" applyAlignment="1">
      <alignment horizontal="center" vertical="center" wrapText="1" shrinkToFit="1"/>
    </xf>
    <xf numFmtId="43" fontId="50" fillId="12" borderId="9" xfId="3" applyNumberFormat="1" applyFont="1" applyFill="1" applyBorder="1" applyAlignment="1">
      <alignment horizontal="center" vertical="center" wrapText="1" shrinkToFit="1"/>
    </xf>
    <xf numFmtId="43" fontId="50" fillId="12" borderId="10" xfId="3" applyNumberFormat="1" applyFont="1" applyFill="1" applyBorder="1" applyAlignment="1">
      <alignment horizontal="center" vertical="center" wrapText="1" shrinkToFit="1"/>
    </xf>
    <xf numFmtId="0" fontId="50" fillId="0" borderId="0" xfId="3" applyFont="1" applyAlignment="1">
      <alignment horizontal="center" vertical="center" wrapText="1" shrinkToFit="1"/>
    </xf>
    <xf numFmtId="0" fontId="50" fillId="2" borderId="12" xfId="3" applyFont="1" applyFill="1" applyBorder="1" applyAlignment="1">
      <alignment horizontal="center" vertical="center" wrapText="1" shrinkToFit="1"/>
    </xf>
    <xf numFmtId="176" fontId="50" fillId="2" borderId="13" xfId="3" applyNumberFormat="1" applyFont="1" applyFill="1" applyBorder="1" applyAlignment="1">
      <alignment horizontal="center" vertical="center" wrapText="1" shrinkToFit="1"/>
    </xf>
    <xf numFmtId="176" fontId="50" fillId="11" borderId="91" xfId="3" applyNumberFormat="1" applyFont="1" applyFill="1" applyBorder="1" applyAlignment="1">
      <alignment horizontal="center" vertical="center" wrapText="1" shrinkToFit="1"/>
    </xf>
    <xf numFmtId="43" fontId="50" fillId="3" borderId="14" xfId="1" applyFont="1" applyFill="1" applyBorder="1" applyAlignment="1">
      <alignment horizontal="center" vertical="center" wrapText="1" shrinkToFit="1"/>
    </xf>
    <xf numFmtId="43" fontId="50" fillId="4" borderId="15" xfId="1" applyFont="1" applyFill="1" applyBorder="1" applyAlignment="1">
      <alignment horizontal="center" vertical="center" wrapText="1" shrinkToFit="1"/>
    </xf>
    <xf numFmtId="43" fontId="50" fillId="5" borderId="15" xfId="1" applyFont="1" applyFill="1" applyBorder="1" applyAlignment="1">
      <alignment horizontal="center" vertical="center" wrapText="1" shrinkToFit="1"/>
    </xf>
    <xf numFmtId="43" fontId="50" fillId="6" borderId="15" xfId="1" applyFont="1" applyFill="1" applyBorder="1" applyAlignment="1">
      <alignment horizontal="center" vertical="center" wrapText="1" shrinkToFit="1"/>
    </xf>
    <xf numFmtId="43" fontId="50" fillId="7" borderId="15" xfId="3" applyNumberFormat="1" applyFont="1" applyFill="1" applyBorder="1" applyAlignment="1">
      <alignment horizontal="center" vertical="center" wrapText="1" shrinkToFit="1"/>
    </xf>
    <xf numFmtId="43" fontId="50" fillId="8" borderId="15" xfId="3" applyNumberFormat="1" applyFont="1" applyFill="1" applyBorder="1" applyAlignment="1">
      <alignment horizontal="center" vertical="center" wrapText="1" shrinkToFit="1"/>
    </xf>
    <xf numFmtId="43" fontId="50" fillId="9" borderId="13" xfId="0" applyNumberFormat="1" applyFont="1" applyFill="1" applyBorder="1" applyAlignment="1">
      <alignment horizontal="center" vertical="center" wrapText="1" shrinkToFit="1"/>
    </xf>
    <xf numFmtId="177" fontId="50" fillId="0" borderId="16" xfId="0" applyNumberFormat="1" applyFont="1" applyBorder="1" applyAlignment="1">
      <alignment horizontal="center" vertical="center" wrapText="1" shrinkToFit="1"/>
    </xf>
    <xf numFmtId="178" fontId="50" fillId="0" borderId="16" xfId="0" applyNumberFormat="1" applyFont="1" applyBorder="1" applyAlignment="1">
      <alignment horizontal="center" vertical="center" wrapText="1" shrinkToFit="1"/>
    </xf>
    <xf numFmtId="177" fontId="50" fillId="2" borderId="17" xfId="0" applyNumberFormat="1" applyFont="1" applyFill="1" applyBorder="1" applyAlignment="1">
      <alignment horizontal="center" vertical="center" wrapText="1" shrinkToFit="1"/>
    </xf>
    <xf numFmtId="43" fontId="51" fillId="2" borderId="18" xfId="5" applyNumberFormat="1" applyFont="1" applyFill="1" applyBorder="1" applyAlignment="1">
      <alignment horizontal="center" vertical="center" wrapText="1"/>
    </xf>
    <xf numFmtId="43" fontId="51" fillId="2" borderId="92" xfId="5" applyNumberFormat="1" applyFont="1" applyFill="1" applyBorder="1" applyAlignment="1">
      <alignment horizontal="center" vertical="center" wrapText="1"/>
    </xf>
    <xf numFmtId="179" fontId="50" fillId="9" borderId="68" xfId="0" applyNumberFormat="1" applyFont="1" applyFill="1" applyBorder="1" applyAlignment="1">
      <alignment horizontal="center" vertical="center" wrapText="1" shrinkToFit="1"/>
    </xf>
    <xf numFmtId="43" fontId="50" fillId="2" borderId="14" xfId="0" applyNumberFormat="1" applyFont="1" applyFill="1" applyBorder="1" applyAlignment="1">
      <alignment horizontal="center" vertical="center" wrapText="1" shrinkToFit="1"/>
    </xf>
    <xf numFmtId="43" fontId="50" fillId="2" borderId="15" xfId="0" applyNumberFormat="1" applyFont="1" applyFill="1" applyBorder="1" applyAlignment="1">
      <alignment horizontal="center" vertical="center" wrapText="1" shrinkToFit="1"/>
    </xf>
    <xf numFmtId="0" fontId="50" fillId="0" borderId="20" xfId="0" applyFont="1" applyBorder="1" applyAlignment="1">
      <alignment horizontal="center" vertical="center" wrapText="1" shrinkToFit="1"/>
    </xf>
    <xf numFmtId="43" fontId="51" fillId="8" borderId="15" xfId="5" applyNumberFormat="1" applyFont="1" applyFill="1" applyBorder="1" applyAlignment="1">
      <alignment horizontal="center" vertical="center" wrapText="1" shrinkToFit="1"/>
    </xf>
    <xf numFmtId="43" fontId="51" fillId="11" borderId="15" xfId="5" applyNumberFormat="1" applyFont="1" applyFill="1" applyBorder="1" applyAlignment="1">
      <alignment horizontal="center" vertical="center" wrapText="1" shrinkToFit="1"/>
    </xf>
    <xf numFmtId="43" fontId="51" fillId="3" borderId="15" xfId="0" applyNumberFormat="1" applyFont="1" applyFill="1" applyBorder="1" applyAlignment="1">
      <alignment horizontal="center" vertical="center" wrapText="1"/>
    </xf>
    <xf numFmtId="43" fontId="51" fillId="3" borderId="23" xfId="0" applyNumberFormat="1" applyFont="1" applyFill="1" applyBorder="1" applyAlignment="1">
      <alignment horizontal="center" vertical="center" wrapText="1"/>
    </xf>
    <xf numFmtId="43" fontId="51" fillId="4" borderId="12" xfId="0" applyNumberFormat="1" applyFont="1" applyFill="1" applyBorder="1" applyAlignment="1">
      <alignment horizontal="center" vertical="center" wrapText="1" shrinkToFit="1"/>
    </xf>
    <xf numFmtId="43" fontId="51" fillId="4" borderId="15" xfId="0" applyNumberFormat="1" applyFont="1" applyFill="1" applyBorder="1" applyAlignment="1">
      <alignment horizontal="center" vertical="center" wrapText="1" shrinkToFit="1"/>
    </xf>
    <xf numFmtId="43" fontId="51" fillId="4" borderId="22" xfId="0" applyNumberFormat="1" applyFont="1" applyFill="1" applyBorder="1" applyAlignment="1">
      <alignment horizontal="center" vertical="center" wrapText="1" shrinkToFit="1"/>
    </xf>
    <xf numFmtId="43" fontId="52" fillId="5" borderId="21" xfId="0" applyNumberFormat="1" applyFont="1" applyFill="1" applyBorder="1" applyAlignment="1">
      <alignment horizontal="center" vertical="center" wrapText="1" shrinkToFit="1"/>
    </xf>
    <xf numFmtId="43" fontId="52" fillId="5" borderId="93" xfId="0" applyNumberFormat="1" applyFont="1" applyFill="1" applyBorder="1" applyAlignment="1">
      <alignment horizontal="center" vertical="center" wrapText="1" shrinkToFit="1"/>
    </xf>
    <xf numFmtId="0" fontId="52" fillId="5" borderId="23" xfId="0" applyFont="1" applyFill="1" applyBorder="1" applyAlignment="1">
      <alignment horizontal="center" vertical="center" wrapText="1" shrinkToFit="1"/>
    </xf>
    <xf numFmtId="43" fontId="52" fillId="6" borderId="12" xfId="0" applyNumberFormat="1" applyFont="1" applyFill="1" applyBorder="1" applyAlignment="1">
      <alignment horizontal="center" vertical="center" wrapText="1" shrinkToFit="1"/>
    </xf>
    <xf numFmtId="43" fontId="52" fillId="6" borderId="15" xfId="0" applyNumberFormat="1" applyFont="1" applyFill="1" applyBorder="1" applyAlignment="1">
      <alignment horizontal="center" vertical="center" wrapText="1" shrinkToFit="1"/>
    </xf>
    <xf numFmtId="43" fontId="52" fillId="6" borderId="22" xfId="0" applyNumberFormat="1" applyFont="1" applyFill="1" applyBorder="1" applyAlignment="1">
      <alignment horizontal="center" vertical="center" wrapText="1" shrinkToFit="1"/>
    </xf>
    <xf numFmtId="43" fontId="52" fillId="7" borderId="21" xfId="0" applyNumberFormat="1" applyFont="1" applyFill="1" applyBorder="1" applyAlignment="1">
      <alignment horizontal="center" vertical="center" wrapText="1" shrinkToFit="1"/>
    </xf>
    <xf numFmtId="43" fontId="52" fillId="7" borderId="22" xfId="0" applyNumberFormat="1" applyFont="1" applyFill="1" applyBorder="1" applyAlignment="1">
      <alignment horizontal="center" vertical="center" wrapText="1" shrinkToFit="1"/>
    </xf>
    <xf numFmtId="43" fontId="52" fillId="12" borderId="21" xfId="0" applyNumberFormat="1" applyFont="1" applyFill="1" applyBorder="1" applyAlignment="1">
      <alignment horizontal="center" vertical="center" wrapText="1" shrinkToFit="1"/>
    </xf>
    <xf numFmtId="43" fontId="52" fillId="12" borderId="22" xfId="0" applyNumberFormat="1" applyFont="1" applyFill="1" applyBorder="1" applyAlignment="1">
      <alignment horizontal="center" vertical="center" wrapText="1" shrinkToFit="1"/>
    </xf>
    <xf numFmtId="0" fontId="51" fillId="0" borderId="0" xfId="0" applyFont="1" applyAlignment="1">
      <alignment horizontal="center" vertical="center" wrapText="1" shrinkToFit="1"/>
    </xf>
    <xf numFmtId="0" fontId="51" fillId="0" borderId="0" xfId="0" applyFont="1" applyAlignment="1">
      <alignment vertical="center" wrapText="1" shrinkToFit="1"/>
    </xf>
  </cellXfs>
  <cellStyles count="7">
    <cellStyle name="常规" xfId="0" builtinId="0"/>
    <cellStyle name="常规 10" xfId="3" xr:uid="{00000000-0005-0000-0000-000031000000}"/>
    <cellStyle name="常规 105" xfId="4" xr:uid="{00000000-0005-0000-0000-000032000000}"/>
    <cellStyle name="常规 2" xfId="5" xr:uid="{00000000-0005-0000-0000-000033000000}"/>
    <cellStyle name="常规 2 4" xfId="6" xr:uid="{00000000-0005-0000-0000-000034000000}"/>
    <cellStyle name="超链接" xfId="2" builtinId="8"/>
    <cellStyle name="千位分隔" xfId="1" builtinId="3"/>
  </cellStyles>
  <dxfs count="0"/>
  <tableStyles count="0" defaultTableStyle="TableStyleMedium2" defaultPivotStyle="PivotStyleLight16"/>
  <colors>
    <mruColors>
      <color rgb="FFFF99FF"/>
      <color rgb="FF465198"/>
      <color rgb="FF5963C5"/>
      <color rgb="FF3A437E"/>
      <color rgb="FFA7284C"/>
      <color rgb="FFE7E6E6"/>
      <color rgb="FFA0C1E5"/>
      <color rgb="FF4C5CD2"/>
      <color rgb="FF9BC2E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032819201104"/>
          <c:y val="0.25415068487134601"/>
          <c:w val="0.52916993293267101"/>
          <c:h val="0.60715068499166802"/>
        </c:manualLayout>
      </c:layou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42985704"/>
        <c:axId val="454932228"/>
      </c:barChart>
      <c:catAx>
        <c:axId val="242985704"/>
        <c:scaling>
          <c:orientation val="minMax"/>
        </c:scaling>
        <c:delete val="1"/>
        <c:axPos val="b"/>
        <c:majorTickMark val="none"/>
        <c:minorTickMark val="none"/>
        <c:tickLblPos val="nextTo"/>
        <c:crossAx val="454932228"/>
        <c:crosses val="autoZero"/>
        <c:auto val="1"/>
        <c:lblAlgn val="ctr"/>
        <c:lblOffset val="100"/>
        <c:noMultiLvlLbl val="0"/>
      </c:catAx>
      <c:valAx>
        <c:axId val="454932228"/>
        <c:scaling>
          <c:orientation val="minMax"/>
          <c:max val="60000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2985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d95404-7882-4db8-b1fe-7706d29922af}"/>
      </c:ext>
    </c:extLst>
  </c:chart>
  <c:spPr>
    <a:gradFill rotWithShape="1">
      <a:gsLst>
        <a:gs pos="0">
          <a:srgbClr val="9BC2E6"/>
        </a:gs>
        <a:gs pos="50000">
          <a:schemeClr val="accent1">
            <a:lumMod val="105000"/>
            <a:satMod val="103000"/>
            <a:tint val="73000"/>
          </a:schemeClr>
        </a:gs>
        <a:gs pos="100000">
          <a:schemeClr val="accent1">
            <a:lumMod val="105000"/>
            <a:satMod val="109000"/>
            <a:tint val="81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371134020618599E-2"/>
          <c:y val="1.23864574731627E-2"/>
          <c:w val="0.97402061855670097"/>
          <c:h val="0.97522708505367495"/>
        </c:manualLayout>
      </c:layout>
      <c:pie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5B9B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0-4F2B-847E-7D7AFD7F8A5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0-4F2B-847E-7D7AFD7F8A5C}"/>
              </c:ext>
            </c:extLst>
          </c:dPt>
          <c:val>
            <c:numRef>
              <c:f>([2]X公司年度收支表!$K$39,[2]X公司年度收支表!$G$39)</c:f>
              <c:numCache>
                <c:formatCode>General</c:formatCode>
                <c:ptCount val="2"/>
                <c:pt idx="0">
                  <c:v>34640</c:v>
                </c:pt>
                <c:pt idx="1">
                  <c:v>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0-4F2B-847E-7D7AFD7F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da33d5-1c73-4803-b058-96cc0f2f581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年度财务收支表!$B$82</c:f>
              <c:strCache>
                <c:ptCount val="1"/>
                <c:pt idx="0">
                  <c:v> 收 入 合 计：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年度财务收支表!$D$82:$H$82</c:f>
              <c:numCache>
                <c:formatCode>_(* #,##0.00_);_(* \(#,##0.00\);_(* "-"??_);_(@_)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5B4-4AE7-BFC0-6135DAE3FB40}"/>
            </c:ext>
          </c:extLst>
        </c:ser>
        <c:ser>
          <c:idx val="1"/>
          <c:order val="1"/>
          <c:tx>
            <c:strRef>
              <c:f>年度财务收支表!$B$83</c:f>
              <c:strCache>
                <c:ptCount val="1"/>
                <c:pt idx="0">
                  <c:v> 支 出 合 计：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年度财务收支表!$D$83:$H$83</c:f>
              <c:numCache>
                <c:formatCode>_(* #,##0.00_);_(* \(#,##0.00\);_(* "-"??_);_(@_)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85B4-4AE7-BFC0-6135DAE3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652804"/>
        <c:axId val="247792591"/>
      </c:barChart>
      <c:lineChart>
        <c:grouping val="standard"/>
        <c:varyColors val="0"/>
        <c:ser>
          <c:idx val="2"/>
          <c:order val="2"/>
          <c:tx>
            <c:strRef>
              <c:f>年度财务收支表!$B$84</c:f>
              <c:strCache>
                <c:ptCount val="1"/>
                <c:pt idx="0">
                  <c:v> 期末余额                                           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年度财务收支表!$D$84:$H$84</c:f>
              <c:numCache>
                <c:formatCode>_(* #,##0.00_);_(* \(#,##0.00\);_(* "-"??_);_(@_)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4-4AE7-BFC0-6135DAE3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996266"/>
        <c:axId val="600473566"/>
      </c:lineChart>
      <c:catAx>
        <c:axId val="793652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792591"/>
        <c:crosses val="autoZero"/>
        <c:auto val="0"/>
        <c:lblAlgn val="ctr"/>
        <c:lblOffset val="100"/>
        <c:noMultiLvlLbl val="0"/>
      </c:catAx>
      <c:valAx>
        <c:axId val="247792591"/>
        <c:scaling>
          <c:orientation val="minMax"/>
          <c:max val="80000"/>
          <c:min val="-3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3652804"/>
        <c:crosses val="autoZero"/>
        <c:crossBetween val="between"/>
        <c:majorUnit val="30000"/>
        <c:minorUnit val="5000"/>
      </c:valAx>
      <c:catAx>
        <c:axId val="3819962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0473566"/>
        <c:crosses val="autoZero"/>
        <c:auto val="1"/>
        <c:lblAlgn val="ctr"/>
        <c:lblOffset val="100"/>
        <c:noMultiLvlLbl val="0"/>
      </c:catAx>
      <c:valAx>
        <c:axId val="600473566"/>
        <c:scaling>
          <c:orientation val="minMax"/>
        </c:scaling>
        <c:delete val="1"/>
        <c:axPos val="r"/>
        <c:numFmt formatCode="_(* #,##0.00_);_(* \(#,##0.00\);_(* &quot;-&quot;??_);_(@_)" sourceLinked="1"/>
        <c:majorTickMark val="none"/>
        <c:minorTickMark val="none"/>
        <c:tickLblPos val="nextTo"/>
        <c:crossAx val="38199626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efc371-357c-4ec5-9f13-37a24458d7fa}"/>
      </c:ext>
    </c:extLst>
  </c:chart>
  <c:spPr>
    <a:solidFill>
      <a:srgbClr val="A0C1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86995</xdr:colOff>
      <xdr:row>1</xdr:row>
      <xdr:rowOff>31750</xdr:rowOff>
    </xdr:from>
    <xdr:to>
      <xdr:col>8</xdr:col>
      <xdr:colOff>913130</xdr:colOff>
      <xdr:row>9</xdr:row>
      <xdr:rowOff>207010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3</xdr:row>
      <xdr:rowOff>22225</xdr:rowOff>
    </xdr:from>
    <xdr:to>
      <xdr:col>1</xdr:col>
      <xdr:colOff>1377950</xdr:colOff>
      <xdr:row>8</xdr:row>
      <xdr:rowOff>103505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504825</xdr:colOff>
      <xdr:row>4</xdr:row>
      <xdr:rowOff>9525</xdr:rowOff>
    </xdr:from>
    <xdr:to>
      <xdr:col>1</xdr:col>
      <xdr:colOff>1247775</xdr:colOff>
      <xdr:row>7</xdr:row>
      <xdr:rowOff>125095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03885" y="1019175"/>
          <a:ext cx="742950" cy="744220"/>
        </a:xfrm>
        <a:prstGeom prst="ellipse">
          <a:avLst/>
        </a:prstGeom>
        <a:solidFill>
          <a:srgbClr val="E7E6E6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457200</xdr:colOff>
      <xdr:row>5</xdr:row>
      <xdr:rowOff>0</xdr:rowOff>
    </xdr:from>
    <xdr:to>
      <xdr:col>1</xdr:col>
      <xdr:colOff>1332230</xdr:colOff>
      <xdr:row>7</xdr:row>
      <xdr:rowOff>19050</xdr:rowOff>
    </xdr:to>
    <xdr:sp macro="" textlink="年度财务收支表!$G$78">
      <xdr:nvSpPr>
        <xdr:cNvPr id="25" name="文本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56260" y="1219200"/>
          <a:ext cx="87503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pPr algn="l"/>
            <a:t> </a:t>
          </a:fld>
          <a:endParaRPr lang="zh-CN" altLang="en-US" sz="1400" b="1">
            <a:solidFill>
              <a:schemeClr val="accent2">
                <a:lumMod val="75000"/>
              </a:schemeClr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428625</xdr:colOff>
      <xdr:row>1</xdr:row>
      <xdr:rowOff>133350</xdr:rowOff>
    </xdr:from>
    <xdr:to>
      <xdr:col>1</xdr:col>
      <xdr:colOff>1438275</xdr:colOff>
      <xdr:row>3</xdr:row>
      <xdr:rowOff>38100</xdr:rowOff>
    </xdr:to>
    <xdr:sp macro="" textlink="">
      <xdr:nvSpPr>
        <xdr:cNvPr id="26" name="圆角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7685" y="514350"/>
          <a:ext cx="1009650" cy="32385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</a:rPr>
            <a:t>收支占比</a:t>
          </a:r>
        </a:p>
      </xdr:txBody>
    </xdr:sp>
    <xdr:clientData/>
  </xdr:twoCellAnchor>
  <xdr:twoCellAnchor>
    <xdr:from>
      <xdr:col>1</xdr:col>
      <xdr:colOff>1606550</xdr:colOff>
      <xdr:row>1</xdr:row>
      <xdr:rowOff>123825</xdr:rowOff>
    </xdr:from>
    <xdr:to>
      <xdr:col>7</xdr:col>
      <xdr:colOff>778510</xdr:colOff>
      <xdr:row>9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Pad\AppData\Local\Temp\Temp1_Q201703&#26376;&#29616;&#37329;&#27969;-C.zip\Q201702&#36164;&#20135;%20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1786\Desktop\&#24180;&#32456;&#36130;&#21153;&#25253;&#34920;%20&#24180;&#24230;&#25910;&#25903;&#27719;&#24635;&#34920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 在外库存-2"/>
      <sheetName val="1 利润表-2"/>
      <sheetName val="2 资产负债表-2"/>
      <sheetName val="3 现金流-2"/>
      <sheetName val="4 收款记录-2"/>
      <sheetName val="5 资金分布-2"/>
      <sheetName val="6 预付账款-2"/>
      <sheetName val="7 应收账款-2"/>
      <sheetName val="8 代销客户-2"/>
      <sheetName val="9 代销成本-2"/>
      <sheetName val="10 物流成本-2"/>
      <sheetName val="11 代付运费-2"/>
      <sheetName val="12 库存-2"/>
      <sheetName val="14 出货排名表-2"/>
      <sheetName val="15 销售毛利-2"/>
      <sheetName val="16 销售分析表 -2"/>
      <sheetName val="17 其他应收款-2"/>
      <sheetName val="18 营业外支出-2"/>
      <sheetName val="19 研发-2"/>
      <sheetName val="20 固定资产折旧-2"/>
      <sheetName val="21 固定费用表"/>
      <sheetName val="22 人员成本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公司年度收支表"/>
      <sheetName val="Sheet2"/>
    </sheetNames>
    <sheetDataSet>
      <sheetData sheetId="0">
        <row r="39">
          <cell r="G39">
            <v>7520</v>
          </cell>
          <cell r="K39">
            <v>34640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【6】">
    <a:dk1>
      <a:srgbClr val="000000"/>
    </a:dk1>
    <a:lt1>
      <a:srgbClr val="FFFFFF"/>
    </a:lt1>
    <a:dk2>
      <a:srgbClr val="0C0E1F"/>
    </a:dk2>
    <a:lt2>
      <a:srgbClr val="FEFFFF"/>
    </a:lt2>
    <a:accent1>
      <a:srgbClr val="F2B600"/>
    </a:accent1>
    <a:accent2>
      <a:srgbClr val="FF7315"/>
    </a:accent2>
    <a:accent3>
      <a:srgbClr val="67C7BB"/>
    </a:accent3>
    <a:accent4>
      <a:srgbClr val="23ABA0"/>
    </a:accent4>
    <a:accent5>
      <a:srgbClr val="FF9A2D"/>
    </a:accent5>
    <a:accent6>
      <a:srgbClr val="F08BB4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XEZ85"/>
  <sheetViews>
    <sheetView workbookViewId="0">
      <pane ySplit="12" topLeftCell="A78" activePane="bottomLeft" state="frozen"/>
      <selection pane="bottomLeft" activeCell="E81" sqref="E81"/>
    </sheetView>
  </sheetViews>
  <sheetFormatPr defaultColWidth="9" defaultRowHeight="15.6"/>
  <cols>
    <col min="1" max="1" width="1.296875" style="239" customWidth="1"/>
    <col min="2" max="2" width="28.5" style="240" customWidth="1"/>
    <col min="3" max="3" width="14.296875" style="241" customWidth="1"/>
    <col min="4" max="7" width="13" style="242" customWidth="1"/>
    <col min="8" max="8" width="13" style="239" hidden="1" customWidth="1"/>
    <col min="9" max="9" width="12.09765625" style="243" customWidth="1"/>
    <col min="10" max="14" width="9" style="239"/>
    <col min="15" max="15" width="10.09765625" style="239"/>
    <col min="16" max="16379" width="9" style="239"/>
  </cols>
  <sheetData>
    <row r="1" spans="1:15 16380:16380" s="236" customFormat="1" ht="30" customHeight="1">
      <c r="A1" s="238"/>
      <c r="B1" s="482" t="s">
        <v>0</v>
      </c>
      <c r="C1" s="483"/>
      <c r="D1" s="484"/>
      <c r="E1" s="484"/>
      <c r="F1" s="484"/>
      <c r="G1" s="484"/>
      <c r="H1" s="484"/>
      <c r="I1" s="244"/>
    </row>
    <row r="2" spans="1:15 16380:16380" s="236" customFormat="1">
      <c r="A2" s="238"/>
      <c r="B2" s="245"/>
      <c r="C2" s="246"/>
      <c r="I2" s="247"/>
    </row>
    <row r="3" spans="1:15 16380:16380" s="236" customFormat="1">
      <c r="A3" s="238"/>
      <c r="B3" s="245"/>
      <c r="C3" s="246"/>
      <c r="I3" s="247"/>
    </row>
    <row r="4" spans="1:15 16380:16380" s="236" customFormat="1">
      <c r="A4" s="238"/>
      <c r="B4" s="245"/>
      <c r="C4" s="246"/>
      <c r="I4" s="247"/>
      <c r="M4" s="248"/>
      <c r="N4" s="248"/>
      <c r="O4" s="248"/>
    </row>
    <row r="5" spans="1:15 16380:16380" s="236" customFormat="1">
      <c r="A5" s="238"/>
      <c r="B5" s="245"/>
      <c r="C5" s="246"/>
      <c r="I5" s="247"/>
    </row>
    <row r="6" spans="1:15 16380:16380" s="236" customFormat="1">
      <c r="A6" s="238"/>
      <c r="B6" s="245"/>
      <c r="C6" s="246"/>
      <c r="I6" s="247"/>
    </row>
    <row r="7" spans="1:15 16380:16380" s="236" customFormat="1">
      <c r="A7" s="238"/>
      <c r="B7" s="245"/>
      <c r="C7" s="246"/>
      <c r="I7" s="247"/>
    </row>
    <row r="8" spans="1:15 16380:16380" s="236" customFormat="1">
      <c r="A8" s="238"/>
      <c r="B8" s="245"/>
      <c r="C8" s="246"/>
      <c r="I8" s="247"/>
    </row>
    <row r="9" spans="1:15 16380:16380" s="236" customFormat="1">
      <c r="A9" s="238"/>
      <c r="B9" s="245"/>
      <c r="C9" s="246"/>
      <c r="I9" s="247"/>
    </row>
    <row r="10" spans="1:15 16380:16380" s="236" customFormat="1">
      <c r="A10" s="238"/>
      <c r="B10" s="245"/>
      <c r="C10" s="246"/>
      <c r="I10" s="247"/>
    </row>
    <row r="11" spans="1:15 16380:16380" ht="21" customHeight="1">
      <c r="B11" s="249" t="s">
        <v>1</v>
      </c>
      <c r="C11" s="250" t="s">
        <v>2</v>
      </c>
      <c r="D11" s="251" t="s">
        <v>3</v>
      </c>
      <c r="E11" s="251" t="s">
        <v>4</v>
      </c>
      <c r="F11" s="251" t="s">
        <v>5</v>
      </c>
      <c r="G11" s="252" t="s">
        <v>6</v>
      </c>
      <c r="H11" s="252"/>
      <c r="I11" s="253" t="s">
        <v>7</v>
      </c>
      <c r="XEZ11" s="239"/>
    </row>
    <row r="12" spans="1:15 16380:16380">
      <c r="B12" s="254" t="s">
        <v>8</v>
      </c>
      <c r="C12" s="255"/>
      <c r="D12" s="256"/>
      <c r="E12" s="256"/>
      <c r="F12" s="256"/>
      <c r="G12" s="256"/>
      <c r="H12" s="257"/>
      <c r="I12" s="258"/>
      <c r="XEZ12" s="239"/>
    </row>
    <row r="13" spans="1:15 16380:16380" ht="18" customHeight="1">
      <c r="B13" s="259" t="s">
        <v>9</v>
      </c>
      <c r="C13" s="260"/>
      <c r="D13" s="260"/>
      <c r="E13" s="260"/>
      <c r="F13" s="260"/>
      <c r="G13" s="260"/>
      <c r="H13" s="261"/>
      <c r="I13" s="262"/>
      <c r="XEZ13" s="239"/>
    </row>
    <row r="14" spans="1:15 16380:16380">
      <c r="B14" s="263" t="s">
        <v>10</v>
      </c>
      <c r="C14" s="264"/>
      <c r="D14" s="265"/>
      <c r="E14" s="265"/>
      <c r="F14" s="265"/>
      <c r="G14" s="266"/>
      <c r="H14" s="266"/>
      <c r="I14" s="267"/>
      <c r="XEZ14" s="239"/>
    </row>
    <row r="15" spans="1:15 16380:16380">
      <c r="B15" s="263" t="s">
        <v>11</v>
      </c>
      <c r="C15" s="264"/>
      <c r="D15" s="265"/>
      <c r="E15" s="265"/>
      <c r="F15" s="265"/>
      <c r="G15" s="266"/>
      <c r="H15" s="266"/>
      <c r="I15" s="267"/>
      <c r="XEZ15" s="239"/>
    </row>
    <row r="16" spans="1:15 16380:16380">
      <c r="B16" s="263" t="s">
        <v>12</v>
      </c>
      <c r="C16" s="264"/>
      <c r="D16" s="265"/>
      <c r="E16" s="265"/>
      <c r="F16" s="265"/>
      <c r="G16" s="266"/>
      <c r="H16" s="266"/>
      <c r="I16" s="267"/>
      <c r="XEZ16" s="239"/>
    </row>
    <row r="17" spans="2:9 16380:16380">
      <c r="B17" s="263"/>
      <c r="C17" s="264"/>
      <c r="D17" s="265"/>
      <c r="E17" s="265"/>
      <c r="F17" s="265"/>
      <c r="G17" s="266"/>
      <c r="H17" s="266"/>
      <c r="I17" s="267"/>
      <c r="XEZ17" s="239"/>
    </row>
    <row r="18" spans="2:9 16380:16380">
      <c r="B18" s="263"/>
      <c r="C18" s="264"/>
      <c r="D18" s="265"/>
      <c r="E18" s="265"/>
      <c r="F18" s="265"/>
      <c r="G18" s="266"/>
      <c r="H18" s="266"/>
      <c r="I18" s="267"/>
      <c r="XEZ18" s="239"/>
    </row>
    <row r="19" spans="2:9 16380:16380">
      <c r="B19" s="259" t="s">
        <v>13</v>
      </c>
      <c r="C19" s="260"/>
      <c r="D19" s="260"/>
      <c r="E19" s="268"/>
      <c r="F19" s="268"/>
      <c r="G19" s="261"/>
      <c r="H19" s="261"/>
      <c r="I19" s="262"/>
      <c r="XEZ19" s="239"/>
    </row>
    <row r="20" spans="2:9 16380:16380">
      <c r="B20" s="269" t="s">
        <v>14</v>
      </c>
      <c r="C20" s="270"/>
      <c r="D20" s="270"/>
      <c r="E20" s="270"/>
      <c r="F20" s="270"/>
      <c r="G20" s="270"/>
      <c r="H20" s="270"/>
      <c r="I20" s="271"/>
      <c r="XEZ20" s="239"/>
    </row>
    <row r="21" spans="2:9 16380:16380">
      <c r="B21" s="269" t="s">
        <v>15</v>
      </c>
      <c r="C21" s="270"/>
      <c r="D21" s="269"/>
      <c r="E21" s="269"/>
      <c r="F21" s="269"/>
      <c r="G21" s="270"/>
      <c r="H21" s="270"/>
      <c r="I21" s="271"/>
      <c r="XEZ21" s="239"/>
    </row>
    <row r="22" spans="2:9 16380:16380">
      <c r="B22" s="259" t="s">
        <v>16</v>
      </c>
      <c r="C22" s="260"/>
      <c r="D22" s="260"/>
      <c r="E22" s="260"/>
      <c r="F22" s="260"/>
      <c r="G22" s="260"/>
      <c r="H22" s="272"/>
      <c r="I22" s="273"/>
      <c r="XEZ22" s="239"/>
    </row>
    <row r="23" spans="2:9 16380:16380">
      <c r="B23" s="263" t="s">
        <v>17</v>
      </c>
      <c r="C23" s="264"/>
      <c r="D23" s="265"/>
      <c r="E23" s="265"/>
      <c r="F23" s="265"/>
      <c r="G23" s="274"/>
      <c r="H23" s="274"/>
      <c r="I23" s="267"/>
      <c r="XEZ23" s="239"/>
    </row>
    <row r="24" spans="2:9 16380:16380">
      <c r="B24" s="263" t="s">
        <v>18</v>
      </c>
      <c r="C24" s="264"/>
      <c r="D24" s="265"/>
      <c r="E24" s="265"/>
      <c r="F24" s="265"/>
      <c r="G24" s="274"/>
      <c r="H24" s="274"/>
      <c r="I24" s="267"/>
      <c r="XEZ24" s="239"/>
    </row>
    <row r="25" spans="2:9 16380:16380">
      <c r="B25" s="263" t="s">
        <v>19</v>
      </c>
      <c r="C25" s="264"/>
      <c r="D25" s="265"/>
      <c r="E25" s="265"/>
      <c r="F25" s="265"/>
      <c r="G25" s="274"/>
      <c r="H25" s="274"/>
      <c r="I25" s="267"/>
      <c r="XEZ25" s="239"/>
    </row>
    <row r="26" spans="2:9 16380:16380">
      <c r="B26" s="263" t="s">
        <v>20</v>
      </c>
      <c r="C26" s="264"/>
      <c r="D26" s="265"/>
      <c r="E26" s="265"/>
      <c r="F26" s="265"/>
      <c r="G26" s="274"/>
      <c r="H26" s="274"/>
      <c r="I26" s="267"/>
      <c r="XEZ26" s="239"/>
    </row>
    <row r="27" spans="2:9 16380:16380">
      <c r="B27" s="263"/>
      <c r="C27" s="264"/>
      <c r="D27" s="265"/>
      <c r="E27" s="265"/>
      <c r="F27" s="265"/>
      <c r="G27" s="274"/>
      <c r="H27" s="274"/>
      <c r="I27" s="267"/>
      <c r="XEZ27" s="239"/>
    </row>
    <row r="28" spans="2:9 16380:16380">
      <c r="B28" s="263"/>
      <c r="C28" s="264"/>
      <c r="D28" s="265"/>
      <c r="E28" s="265"/>
      <c r="F28" s="265"/>
      <c r="G28" s="274"/>
      <c r="H28" s="274"/>
      <c r="I28" s="267"/>
      <c r="XEZ28" s="239"/>
    </row>
    <row r="29" spans="2:9 16380:16380">
      <c r="B29" s="263"/>
      <c r="C29" s="264"/>
      <c r="D29" s="265"/>
      <c r="E29" s="265"/>
      <c r="F29" s="265"/>
      <c r="G29" s="274"/>
      <c r="H29" s="274"/>
      <c r="I29" s="267"/>
      <c r="XEZ29" s="239"/>
    </row>
    <row r="30" spans="2:9 16380:16380">
      <c r="B30" s="263"/>
      <c r="C30" s="264"/>
      <c r="D30" s="265"/>
      <c r="E30" s="265"/>
      <c r="F30" s="265"/>
      <c r="G30" s="274"/>
      <c r="H30" s="274"/>
      <c r="I30" s="267"/>
      <c r="XEZ30" s="239"/>
    </row>
    <row r="31" spans="2:9 16380:16380">
      <c r="B31" s="259" t="s">
        <v>21</v>
      </c>
      <c r="C31" s="260"/>
      <c r="D31" s="260"/>
      <c r="E31" s="260"/>
      <c r="F31" s="260"/>
      <c r="G31" s="260"/>
      <c r="H31" s="272"/>
      <c r="I31" s="273"/>
      <c r="XEZ31" s="239"/>
    </row>
    <row r="32" spans="2:9 16380:16380">
      <c r="B32" s="263" t="s">
        <v>22</v>
      </c>
      <c r="C32" s="264"/>
      <c r="D32" s="265"/>
      <c r="E32" s="265"/>
      <c r="F32" s="265"/>
      <c r="G32" s="274"/>
      <c r="H32" s="274"/>
      <c r="I32" s="267"/>
      <c r="XEZ32" s="239"/>
    </row>
    <row r="33" spans="2:9 16380:16380">
      <c r="B33" s="263" t="s">
        <v>23</v>
      </c>
      <c r="C33" s="264"/>
      <c r="D33" s="265"/>
      <c r="E33" s="265"/>
      <c r="F33" s="265"/>
      <c r="G33" s="274"/>
      <c r="H33" s="274"/>
      <c r="I33" s="267"/>
      <c r="XEZ33" s="239"/>
    </row>
    <row r="34" spans="2:9 16380:16380">
      <c r="B34" s="263" t="s">
        <v>19</v>
      </c>
      <c r="C34" s="264"/>
      <c r="D34" s="265"/>
      <c r="E34" s="265"/>
      <c r="F34" s="265"/>
      <c r="G34" s="274"/>
      <c r="H34" s="274"/>
      <c r="I34" s="267"/>
      <c r="XEZ34" s="239"/>
    </row>
    <row r="35" spans="2:9 16380:16380">
      <c r="B35" s="263" t="s">
        <v>24</v>
      </c>
      <c r="C35" s="264"/>
      <c r="D35" s="265"/>
      <c r="E35" s="265"/>
      <c r="F35" s="265"/>
      <c r="G35" s="274"/>
      <c r="H35" s="274"/>
      <c r="I35" s="267"/>
      <c r="XEZ35" s="239"/>
    </row>
    <row r="36" spans="2:9 16380:16380">
      <c r="B36" s="263"/>
      <c r="C36" s="264"/>
      <c r="D36" s="265"/>
      <c r="E36" s="265"/>
      <c r="F36" s="265"/>
      <c r="G36" s="274"/>
      <c r="H36" s="274"/>
      <c r="I36" s="267"/>
      <c r="XEZ36" s="239"/>
    </row>
    <row r="37" spans="2:9 16380:16380">
      <c r="B37" s="259" t="s">
        <v>25</v>
      </c>
      <c r="C37" s="260"/>
      <c r="D37" s="260"/>
      <c r="E37" s="260"/>
      <c r="F37" s="260"/>
      <c r="G37" s="260"/>
      <c r="H37" s="272"/>
      <c r="I37" s="273"/>
      <c r="XEZ37" s="239"/>
    </row>
    <row r="38" spans="2:9 16380:16380">
      <c r="B38" s="263" t="s">
        <v>26</v>
      </c>
      <c r="C38" s="264"/>
      <c r="D38" s="265"/>
      <c r="E38" s="265"/>
      <c r="F38" s="265"/>
      <c r="G38" s="265"/>
      <c r="H38" s="274"/>
      <c r="I38" s="267"/>
      <c r="XEZ38" s="239"/>
    </row>
    <row r="39" spans="2:9 16380:16380">
      <c r="B39" s="263" t="s">
        <v>27</v>
      </c>
      <c r="C39" s="264"/>
      <c r="D39" s="265"/>
      <c r="E39" s="265"/>
      <c r="F39" s="265"/>
      <c r="G39" s="265"/>
      <c r="H39" s="274"/>
      <c r="I39" s="267"/>
      <c r="XEZ39" s="239"/>
    </row>
    <row r="40" spans="2:9 16380:16380">
      <c r="B40" s="263" t="s">
        <v>28</v>
      </c>
      <c r="C40" s="264"/>
      <c r="D40" s="265"/>
      <c r="E40" s="265"/>
      <c r="F40" s="265"/>
      <c r="G40" s="265"/>
      <c r="H40" s="274"/>
      <c r="I40" s="267"/>
      <c r="XEZ40" s="239"/>
    </row>
    <row r="41" spans="2:9 16380:16380">
      <c r="B41" s="263" t="s">
        <v>29</v>
      </c>
      <c r="C41" s="264"/>
      <c r="D41" s="265"/>
      <c r="E41" s="265"/>
      <c r="F41" s="265"/>
      <c r="G41" s="265"/>
      <c r="H41" s="274"/>
      <c r="I41" s="267"/>
      <c r="XEZ41" s="239"/>
    </row>
    <row r="42" spans="2:9 16380:16380">
      <c r="B42" s="263" t="s">
        <v>30</v>
      </c>
      <c r="C42" s="264"/>
      <c r="D42" s="265"/>
      <c r="E42" s="265"/>
      <c r="F42" s="265"/>
      <c r="G42" s="265"/>
      <c r="H42" s="274"/>
      <c r="I42" s="267"/>
      <c r="XEZ42" s="239"/>
    </row>
    <row r="43" spans="2:9 16380:16380">
      <c r="B43" s="263" t="s">
        <v>19</v>
      </c>
      <c r="C43" s="264"/>
      <c r="D43" s="265"/>
      <c r="E43" s="265"/>
      <c r="F43" s="265"/>
      <c r="G43" s="265"/>
      <c r="H43" s="274"/>
      <c r="I43" s="267"/>
      <c r="XEZ43" s="239"/>
    </row>
    <row r="44" spans="2:9 16380:16380">
      <c r="B44" s="263" t="s">
        <v>31</v>
      </c>
      <c r="C44" s="264"/>
      <c r="D44" s="265"/>
      <c r="E44" s="265"/>
      <c r="F44" s="265"/>
      <c r="G44" s="265"/>
      <c r="H44" s="274"/>
      <c r="I44" s="267"/>
      <c r="XEZ44" s="239"/>
    </row>
    <row r="45" spans="2:9 16380:16380">
      <c r="B45" s="263" t="s">
        <v>32</v>
      </c>
      <c r="C45" s="264"/>
      <c r="D45" s="265"/>
      <c r="E45" s="265"/>
      <c r="F45" s="265"/>
      <c r="G45" s="265"/>
      <c r="H45" s="274"/>
      <c r="I45" s="267"/>
      <c r="XEZ45" s="239"/>
    </row>
    <row r="46" spans="2:9 16380:16380">
      <c r="B46" s="263"/>
      <c r="C46" s="264"/>
      <c r="D46" s="265"/>
      <c r="E46" s="265"/>
      <c r="F46" s="265"/>
      <c r="G46" s="274"/>
      <c r="H46" s="274"/>
      <c r="I46" s="267"/>
      <c r="XEZ46" s="239"/>
    </row>
    <row r="47" spans="2:9 16380:16380">
      <c r="B47" s="259" t="s">
        <v>33</v>
      </c>
      <c r="C47" s="260"/>
      <c r="D47" s="260"/>
      <c r="E47" s="260"/>
      <c r="F47" s="260"/>
      <c r="G47" s="260"/>
      <c r="H47" s="272"/>
      <c r="I47" s="273"/>
      <c r="XEZ47" s="239"/>
    </row>
    <row r="48" spans="2:9 16380:16380">
      <c r="B48" s="263" t="s">
        <v>34</v>
      </c>
      <c r="C48" s="264"/>
      <c r="D48" s="265"/>
      <c r="E48" s="265"/>
      <c r="F48" s="265"/>
      <c r="G48" s="274"/>
      <c r="H48" s="274"/>
      <c r="I48" s="267"/>
      <c r="XEZ48" s="239"/>
    </row>
    <row r="49" spans="2:9 16380:16380">
      <c r="B49" s="263" t="s">
        <v>35</v>
      </c>
      <c r="C49" s="264"/>
      <c r="D49" s="265"/>
      <c r="E49" s="265"/>
      <c r="F49" s="265"/>
      <c r="G49" s="274"/>
      <c r="H49" s="274"/>
      <c r="I49" s="267"/>
      <c r="XEZ49" s="239"/>
    </row>
    <row r="50" spans="2:9 16380:16380">
      <c r="B50" s="263" t="s">
        <v>29</v>
      </c>
      <c r="C50" s="264"/>
      <c r="D50" s="265"/>
      <c r="E50" s="265"/>
      <c r="F50" s="265"/>
      <c r="G50" s="274"/>
      <c r="H50" s="274"/>
      <c r="I50" s="267"/>
      <c r="XEZ50" s="239"/>
    </row>
    <row r="51" spans="2:9 16380:16380">
      <c r="B51" s="263" t="s">
        <v>30</v>
      </c>
      <c r="C51" s="264"/>
      <c r="D51" s="265"/>
      <c r="E51" s="265"/>
      <c r="F51" s="265"/>
      <c r="G51" s="274"/>
      <c r="H51" s="274"/>
      <c r="I51" s="267"/>
      <c r="XEZ51" s="239"/>
    </row>
    <row r="52" spans="2:9 16380:16380">
      <c r="B52" s="263" t="s">
        <v>26</v>
      </c>
      <c r="C52" s="264"/>
      <c r="D52" s="265"/>
      <c r="E52" s="265"/>
      <c r="F52" s="265"/>
      <c r="G52" s="274"/>
      <c r="H52" s="274"/>
      <c r="I52" s="267"/>
      <c r="XEZ52" s="239"/>
    </row>
    <row r="53" spans="2:9 16380:16380">
      <c r="B53" s="263" t="s">
        <v>36</v>
      </c>
      <c r="C53" s="264"/>
      <c r="D53" s="265"/>
      <c r="E53" s="265"/>
      <c r="F53" s="265"/>
      <c r="G53" s="274"/>
      <c r="H53" s="274"/>
      <c r="I53" s="267"/>
      <c r="XEZ53" s="239"/>
    </row>
    <row r="54" spans="2:9 16380:16380">
      <c r="B54" s="263" t="s">
        <v>37</v>
      </c>
      <c r="C54" s="264"/>
      <c r="D54" s="265"/>
      <c r="E54" s="265"/>
      <c r="F54" s="265"/>
      <c r="G54" s="274"/>
      <c r="H54" s="274"/>
      <c r="I54" s="267"/>
      <c r="XEZ54" s="239"/>
    </row>
    <row r="55" spans="2:9 16380:16380">
      <c r="B55" s="263" t="s">
        <v>38</v>
      </c>
      <c r="C55" s="264"/>
      <c r="D55" s="265"/>
      <c r="E55" s="265"/>
      <c r="F55" s="265"/>
      <c r="G55" s="274"/>
      <c r="H55" s="274"/>
      <c r="I55" s="267"/>
      <c r="XEZ55" s="239"/>
    </row>
    <row r="56" spans="2:9 16380:16380">
      <c r="B56" s="263" t="s">
        <v>32</v>
      </c>
      <c r="C56" s="264"/>
      <c r="D56" s="265"/>
      <c r="E56" s="265"/>
      <c r="F56" s="265"/>
      <c r="G56" s="274"/>
      <c r="H56" s="274"/>
      <c r="I56" s="267"/>
      <c r="XEZ56" s="239"/>
    </row>
    <row r="57" spans="2:9 16380:16380">
      <c r="B57" s="259" t="s">
        <v>39</v>
      </c>
      <c r="C57" s="260"/>
      <c r="D57" s="260"/>
      <c r="E57" s="260"/>
      <c r="F57" s="260"/>
      <c r="G57" s="260"/>
      <c r="H57" s="272"/>
      <c r="I57" s="273"/>
      <c r="XEZ57" s="239"/>
    </row>
    <row r="58" spans="2:9 16380:16380">
      <c r="B58" s="263" t="s">
        <v>40</v>
      </c>
      <c r="C58" s="264"/>
      <c r="D58" s="265"/>
      <c r="E58" s="265"/>
      <c r="F58" s="265"/>
      <c r="G58" s="274"/>
      <c r="H58" s="274"/>
      <c r="I58" s="267"/>
      <c r="XEZ58" s="239"/>
    </row>
    <row r="59" spans="2:9 16380:16380">
      <c r="B59" s="263" t="s">
        <v>41</v>
      </c>
      <c r="C59" s="264"/>
      <c r="D59" s="265"/>
      <c r="E59" s="265"/>
      <c r="F59" s="265"/>
      <c r="G59" s="274"/>
      <c r="H59" s="274"/>
      <c r="I59" s="267"/>
      <c r="XEZ59" s="239"/>
    </row>
    <row r="60" spans="2:9 16380:16380">
      <c r="B60" s="263" t="s">
        <v>42</v>
      </c>
      <c r="C60" s="264"/>
      <c r="D60" s="265"/>
      <c r="E60" s="265"/>
      <c r="F60" s="265"/>
      <c r="G60" s="274"/>
      <c r="H60" s="274"/>
      <c r="I60" s="267"/>
      <c r="XEZ60" s="239"/>
    </row>
    <row r="61" spans="2:9 16380:16380">
      <c r="B61" s="259" t="s">
        <v>43</v>
      </c>
      <c r="C61" s="260"/>
      <c r="D61" s="268"/>
      <c r="E61" s="268"/>
      <c r="F61" s="268"/>
      <c r="G61" s="272"/>
      <c r="H61" s="272"/>
      <c r="I61" s="273"/>
      <c r="XEZ61" s="239"/>
    </row>
    <row r="62" spans="2:9 16380:16380">
      <c r="B62" s="263" t="s">
        <v>44</v>
      </c>
      <c r="C62" s="264"/>
      <c r="D62" s="265"/>
      <c r="E62" s="265"/>
      <c r="F62" s="265"/>
      <c r="G62" s="274"/>
      <c r="H62" s="274"/>
      <c r="I62" s="267"/>
      <c r="XEZ62" s="239"/>
    </row>
    <row r="63" spans="2:9 16380:16380">
      <c r="B63" s="263" t="s">
        <v>45</v>
      </c>
      <c r="C63" s="264"/>
      <c r="D63" s="265"/>
      <c r="E63" s="265"/>
      <c r="F63" s="265"/>
      <c r="G63" s="274"/>
      <c r="H63" s="274"/>
      <c r="I63" s="267"/>
      <c r="XEZ63" s="239"/>
    </row>
    <row r="64" spans="2:9 16380:16380">
      <c r="B64" s="263"/>
      <c r="C64" s="264"/>
      <c r="D64" s="265"/>
      <c r="E64" s="265"/>
      <c r="F64" s="265"/>
      <c r="G64" s="274"/>
      <c r="H64" s="274"/>
      <c r="I64" s="267"/>
      <c r="XEZ64" s="239"/>
    </row>
    <row r="65" spans="2:9 16380:16380">
      <c r="B65" s="259" t="s">
        <v>46</v>
      </c>
      <c r="C65" s="260"/>
      <c r="D65" s="260"/>
      <c r="E65" s="260"/>
      <c r="F65" s="260"/>
      <c r="G65" s="260"/>
      <c r="H65" s="260"/>
      <c r="I65" s="273"/>
      <c r="XEZ65" s="239"/>
    </row>
    <row r="66" spans="2:9 16380:16380">
      <c r="B66" s="275" t="s">
        <v>47</v>
      </c>
      <c r="C66" s="264"/>
      <c r="D66" s="264"/>
      <c r="E66" s="265"/>
      <c r="F66" s="265"/>
      <c r="G66" s="274"/>
      <c r="H66" s="274"/>
      <c r="I66" s="267"/>
      <c r="XEZ66" s="239"/>
    </row>
    <row r="67" spans="2:9 16380:16380">
      <c r="B67" s="275" t="s">
        <v>48</v>
      </c>
      <c r="C67" s="264"/>
      <c r="D67" s="265"/>
      <c r="E67" s="265"/>
      <c r="F67" s="265"/>
      <c r="G67" s="274"/>
      <c r="H67" s="274"/>
      <c r="I67" s="267"/>
      <c r="XEZ67" s="239"/>
    </row>
    <row r="68" spans="2:9 16380:16380">
      <c r="B68" s="259" t="s">
        <v>49</v>
      </c>
      <c r="C68" s="260"/>
      <c r="D68" s="268"/>
      <c r="E68" s="268"/>
      <c r="F68" s="268"/>
      <c r="G68" s="272"/>
      <c r="H68" s="272"/>
      <c r="I68" s="273"/>
      <c r="XEZ68" s="239"/>
    </row>
    <row r="69" spans="2:9 16380:16380">
      <c r="B69" s="259" t="s">
        <v>50</v>
      </c>
      <c r="C69" s="260"/>
      <c r="D69" s="260"/>
      <c r="E69" s="260"/>
      <c r="F69" s="260"/>
      <c r="G69" s="260"/>
      <c r="H69" s="272"/>
      <c r="I69" s="273"/>
      <c r="XEZ69" s="239"/>
    </row>
    <row r="70" spans="2:9 16380:16380">
      <c r="B70" s="263" t="s">
        <v>51</v>
      </c>
      <c r="C70" s="264"/>
      <c r="D70" s="265"/>
      <c r="E70" s="265"/>
      <c r="F70" s="265"/>
      <c r="G70" s="274"/>
      <c r="H70" s="274"/>
      <c r="I70" s="267"/>
      <c r="XEZ70" s="239"/>
    </row>
    <row r="71" spans="2:9 16380:16380">
      <c r="B71" s="263" t="s">
        <v>52</v>
      </c>
      <c r="C71" s="264"/>
      <c r="D71" s="265"/>
      <c r="E71" s="265"/>
      <c r="F71" s="265"/>
      <c r="G71" s="274"/>
      <c r="H71" s="274"/>
      <c r="I71" s="267"/>
      <c r="XEZ71" s="239"/>
    </row>
    <row r="72" spans="2:9 16380:16380">
      <c r="B72" s="263" t="s">
        <v>53</v>
      </c>
      <c r="C72" s="264"/>
      <c r="D72" s="265"/>
      <c r="E72" s="265"/>
      <c r="F72" s="265"/>
      <c r="G72" s="274"/>
      <c r="H72" s="274"/>
      <c r="I72" s="267"/>
      <c r="XEZ72" s="239"/>
    </row>
    <row r="73" spans="2:9 16380:16380">
      <c r="B73" s="263" t="s">
        <v>54</v>
      </c>
      <c r="C73" s="264"/>
      <c r="D73" s="264"/>
      <c r="E73" s="265"/>
      <c r="F73" s="265"/>
      <c r="G73" s="274"/>
      <c r="H73" s="274"/>
      <c r="I73" s="267"/>
      <c r="XEZ73" s="239"/>
    </row>
    <row r="74" spans="2:9 16380:16380">
      <c r="B74" s="259" t="s">
        <v>55</v>
      </c>
      <c r="C74" s="260"/>
      <c r="D74" s="268"/>
      <c r="E74" s="268"/>
      <c r="F74" s="268"/>
      <c r="G74" s="272"/>
      <c r="H74" s="272"/>
      <c r="I74" s="273"/>
      <c r="XEZ74" s="239"/>
    </row>
    <row r="75" spans="2:9 16380:16380" ht="22.95" customHeight="1">
      <c r="B75" s="254" t="s">
        <v>56</v>
      </c>
      <c r="C75" s="276"/>
      <c r="D75" s="276"/>
      <c r="E75" s="276"/>
      <c r="F75" s="256"/>
      <c r="G75" s="277"/>
      <c r="H75" s="277"/>
      <c r="I75" s="278"/>
      <c r="XEZ75" s="239"/>
    </row>
    <row r="76" spans="2:9 16380:16380" s="237" customFormat="1" ht="24" customHeight="1">
      <c r="B76" s="279" t="s">
        <v>57</v>
      </c>
      <c r="C76" s="280"/>
      <c r="D76" s="280"/>
      <c r="E76" s="280"/>
      <c r="F76" s="280"/>
      <c r="G76" s="280"/>
      <c r="H76" s="281"/>
      <c r="I76" s="282"/>
    </row>
    <row r="77" spans="2:9 16380:16380" s="238" customFormat="1" ht="34.049999999999997" customHeight="1">
      <c r="B77" s="283" t="s">
        <v>58</v>
      </c>
      <c r="C77" s="284"/>
      <c r="D77" s="284"/>
      <c r="E77" s="285"/>
      <c r="F77" s="286" t="s">
        <v>59</v>
      </c>
      <c r="G77" s="287"/>
      <c r="H77" s="288"/>
      <c r="I77" s="289"/>
    </row>
    <row r="78" spans="2:9 16380:16380" s="238" customFormat="1" ht="34.049999999999997" customHeight="1">
      <c r="B78" s="290" t="s">
        <v>60</v>
      </c>
      <c r="C78" s="291"/>
      <c r="D78" s="291"/>
      <c r="E78" s="292"/>
      <c r="F78" s="293" t="s">
        <v>61</v>
      </c>
      <c r="G78" s="294"/>
      <c r="H78" s="295"/>
      <c r="I78" s="296"/>
    </row>
    <row r="81" spans="2:9 16380:16380">
      <c r="B81" s="297" t="s">
        <v>1</v>
      </c>
      <c r="C81" s="298" t="s">
        <v>2</v>
      </c>
      <c r="D81" s="297" t="s">
        <v>3</v>
      </c>
      <c r="E81" s="297" t="s">
        <v>4</v>
      </c>
      <c r="F81" s="297" t="s">
        <v>5</v>
      </c>
      <c r="G81" s="297" t="s">
        <v>6</v>
      </c>
      <c r="H81" s="297"/>
      <c r="I81" s="299"/>
    </row>
    <row r="82" spans="2:9 16380:16380">
      <c r="B82" s="300" t="s">
        <v>62</v>
      </c>
      <c r="C82" s="300"/>
      <c r="D82" s="300"/>
      <c r="E82" s="300"/>
      <c r="F82" s="300"/>
      <c r="G82" s="300"/>
      <c r="H82" s="300"/>
      <c r="I82" s="299"/>
    </row>
    <row r="83" spans="2:9 16380:16380">
      <c r="B83" s="300" t="s">
        <v>63</v>
      </c>
      <c r="C83" s="300"/>
      <c r="D83" s="300"/>
      <c r="E83" s="300"/>
      <c r="F83" s="300"/>
      <c r="G83" s="300"/>
      <c r="H83" s="300"/>
      <c r="I83" s="299"/>
    </row>
    <row r="84" spans="2:9 16380:16380">
      <c r="B84" s="300" t="s">
        <v>64</v>
      </c>
      <c r="C84" s="300"/>
      <c r="D84" s="300"/>
      <c r="E84" s="300"/>
      <c r="F84" s="300"/>
      <c r="G84" s="300"/>
      <c r="H84" s="300"/>
      <c r="I84" s="299"/>
    </row>
    <row r="85" spans="2:9 16380:16380">
      <c r="C85" s="301"/>
      <c r="H85" s="242"/>
      <c r="I85" s="302"/>
      <c r="XEZ85" s="239"/>
    </row>
  </sheetData>
  <mergeCells count="1">
    <mergeCell ref="B1:H1"/>
  </mergeCells>
  <phoneticPr fontId="46" type="noConversion"/>
  <pageMargins left="0.7" right="0.7" top="0.75" bottom="0.75" header="0.3" footer="0.3"/>
  <pageSetup paperSize="9" orientation="portrait"/>
  <ignoredErrors>
    <ignoredError sqref="J13:XEZ13 A85:XEZ85 A84:B84 J82:XEZ84 I81:XEZ81 A81:B83 A79:XEZ80 H78:XEZ78 O77:XEZ77 H77:J77 A77:B78 E77:F78 K76:XEZ76 A76:B76 J75:XEZ75 A75:B75 A70:B72 A73:B73 A74 A68:A69 A67:B67 A65:A66 A64:B64 A62:B63 A61 A58:B60 A57 A48:B56 A47 J37:XEZ74 A46:B46 A38:B45 A37 A27:B30 J21:XEZ30 A26:B26 A24:B25 A19:B23 A1 C1:XEZ1 A2:L5 P2:XEZ5 A6:XEZ11 A12:B13 J12:XEZ12 A14:B16 J14:XEZ16 A17:B18 J19:XEZ19 J20:XEZ20 J17:XEZ18" evalError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F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I10" sqref="I10"/>
    </sheetView>
  </sheetViews>
  <sheetFormatPr defaultColWidth="9" defaultRowHeight="15.6" outlineLevelCol="1"/>
  <cols>
    <col min="1" max="1" width="3.796875" style="234" bestFit="1" customWidth="1"/>
    <col min="2" max="2" width="6.3984375" style="235" bestFit="1" customWidth="1"/>
    <col min="3" max="3" width="6.3984375" style="194" bestFit="1" customWidth="1" outlineLevel="1"/>
    <col min="4" max="6" width="6.796875" style="194" bestFit="1" customWidth="1" outlineLevel="1"/>
    <col min="7" max="8" width="6.796875" style="195" bestFit="1" customWidth="1" outlineLevel="1"/>
    <col min="9" max="9" width="9.3984375" style="195" bestFit="1" customWidth="1"/>
    <col min="10" max="10" width="8.09765625" style="195" bestFit="1" customWidth="1" outlineLevel="1"/>
    <col min="11" max="11" width="6.3984375" style="195" bestFit="1" customWidth="1" outlineLevel="1"/>
    <col min="12" max="12" width="3.796875" style="195" bestFit="1" customWidth="1"/>
    <col min="13" max="13" width="7" style="195" bestFit="1" customWidth="1"/>
    <col min="14" max="14" width="5.09765625" style="195" bestFit="1" customWidth="1" outlineLevel="1"/>
    <col min="15" max="17" width="8.19921875" style="195" bestFit="1" customWidth="1" outlineLevel="1"/>
    <col min="18" max="18" width="3.796875" style="195" bestFit="1" customWidth="1" outlineLevel="1"/>
    <col min="19" max="19" width="8.69921875" style="195" bestFit="1" customWidth="1" outlineLevel="1"/>
    <col min="20" max="20" width="4.19921875" style="195" bestFit="1" customWidth="1"/>
    <col min="21" max="21" width="3.796875" style="195" bestFit="1" customWidth="1"/>
    <col min="22" max="22" width="9.5" style="198" bestFit="1" customWidth="1"/>
    <col min="23" max="23" width="8.19921875" style="198" bestFit="1" customWidth="1"/>
    <col min="24" max="25" width="8.19921875" style="195" bestFit="1" customWidth="1" outlineLevel="1"/>
    <col min="26" max="27" width="9.5" style="195" bestFit="1" customWidth="1" outlineLevel="1"/>
    <col min="28" max="29" width="8.19921875" style="195" bestFit="1" customWidth="1" outlineLevel="1"/>
    <col min="30" max="30" width="9.5" style="195" bestFit="1" customWidth="1" outlineLevel="1"/>
    <col min="31" max="31" width="8.19921875" style="195" bestFit="1" customWidth="1" outlineLevel="1"/>
    <col min="32" max="33" width="8.19921875" style="199" bestFit="1" customWidth="1" outlineLevel="1"/>
    <col min="34" max="34" width="8.3984375" style="199" bestFit="1" customWidth="1" outlineLevel="1"/>
    <col min="35" max="35" width="7.796875" style="199" bestFit="1" customWidth="1" outlineLevel="1"/>
    <col min="36" max="36" width="8.19921875" style="199" bestFit="1" customWidth="1" outlineLevel="1"/>
    <col min="37" max="37" width="6.8984375" style="199" bestFit="1" customWidth="1" outlineLevel="1"/>
    <col min="38" max="38" width="7.796875" style="199" bestFit="1" customWidth="1" outlineLevel="1"/>
    <col min="39" max="39" width="13.19921875" style="199" bestFit="1" customWidth="1" outlineLevel="1"/>
    <col min="40" max="40" width="8.19921875" style="195" bestFit="1" customWidth="1" outlineLevel="1"/>
    <col min="41" max="41" width="10.09765625" style="195" bestFit="1" customWidth="1" outlineLevel="1"/>
    <col min="42" max="42" width="9.5" style="195" bestFit="1" customWidth="1" outlineLevel="1"/>
    <col min="43" max="43" width="8.19921875" style="195" bestFit="1" customWidth="1" outlineLevel="1"/>
    <col min="44" max="44" width="9.296875" style="195" bestFit="1" customWidth="1" outlineLevel="1"/>
    <col min="45" max="46" width="8.19921875" style="195" bestFit="1" customWidth="1" outlineLevel="1"/>
    <col min="47" max="47" width="9.19921875" style="195" bestFit="1" customWidth="1" outlineLevel="1"/>
    <col min="48" max="48" width="8" style="195" bestFit="1" customWidth="1"/>
    <col min="49" max="49" width="10" style="195" bestFit="1" customWidth="1"/>
    <col min="50" max="50" width="9.19921875" style="195" bestFit="1" customWidth="1"/>
    <col min="51" max="52" width="8" style="195" bestFit="1" customWidth="1"/>
    <col min="53" max="53" width="10.3984375" style="195" bestFit="1" customWidth="1"/>
    <col min="54" max="55" width="8" style="195" bestFit="1" customWidth="1"/>
    <col min="56" max="56" width="11.59765625" style="195" bestFit="1" customWidth="1"/>
    <col min="57" max="57" width="9.19921875" style="195" bestFit="1" customWidth="1"/>
    <col min="58" max="58" width="8" style="195" bestFit="1" customWidth="1"/>
    <col min="59" max="16384" width="9" style="195"/>
  </cols>
  <sheetData>
    <row r="1" spans="1:58" s="544" customFormat="1" ht="17.399999999999999">
      <c r="A1" s="541"/>
      <c r="B1" s="542"/>
      <c r="C1" s="543"/>
      <c r="D1" s="543"/>
      <c r="E1" s="543"/>
      <c r="F1" s="543"/>
      <c r="T1" s="545"/>
      <c r="U1" s="545"/>
      <c r="V1" s="546"/>
      <c r="W1" s="546"/>
      <c r="AF1" s="547"/>
      <c r="AG1" s="547"/>
      <c r="AH1" s="547"/>
      <c r="AI1" s="547"/>
      <c r="AJ1" s="547"/>
      <c r="AK1" s="547"/>
      <c r="AL1" s="547"/>
      <c r="AM1" s="547"/>
    </row>
    <row r="2" spans="1:58" s="588" customFormat="1" ht="25.5" customHeight="1">
      <c r="A2" s="474" t="s">
        <v>65</v>
      </c>
      <c r="B2" s="548" t="s">
        <v>66</v>
      </c>
      <c r="C2" s="549" t="s">
        <v>67</v>
      </c>
      <c r="D2" s="550" t="s">
        <v>68</v>
      </c>
      <c r="E2" s="551" t="s">
        <v>69</v>
      </c>
      <c r="F2" s="552" t="s">
        <v>70</v>
      </c>
      <c r="G2" s="553" t="s">
        <v>71</v>
      </c>
      <c r="H2" s="554" t="s">
        <v>72</v>
      </c>
      <c r="I2" s="555" t="s">
        <v>73</v>
      </c>
      <c r="J2" s="556" t="s">
        <v>74</v>
      </c>
      <c r="K2" s="557" t="s">
        <v>75</v>
      </c>
      <c r="L2" s="558" t="s">
        <v>76</v>
      </c>
      <c r="M2" s="559" t="s">
        <v>77</v>
      </c>
      <c r="N2" s="559" t="s">
        <v>78</v>
      </c>
      <c r="O2" s="560" t="s">
        <v>79</v>
      </c>
      <c r="P2" s="560"/>
      <c r="Q2" s="560"/>
      <c r="R2" s="561" t="s">
        <v>80</v>
      </c>
      <c r="S2" s="562" t="s">
        <v>81</v>
      </c>
      <c r="T2" s="563" t="s">
        <v>82</v>
      </c>
      <c r="U2" s="564" t="s">
        <v>83</v>
      </c>
      <c r="V2" s="565" t="s">
        <v>73</v>
      </c>
      <c r="W2" s="566"/>
      <c r="X2" s="566"/>
      <c r="Y2" s="567"/>
      <c r="Z2" s="568" t="s">
        <v>67</v>
      </c>
      <c r="AA2" s="569"/>
      <c r="AB2" s="569"/>
      <c r="AC2" s="570"/>
      <c r="AD2" s="571" t="s">
        <v>68</v>
      </c>
      <c r="AE2" s="572"/>
      <c r="AF2" s="573"/>
      <c r="AG2" s="573"/>
      <c r="AH2" s="573"/>
      <c r="AI2" s="573"/>
      <c r="AJ2" s="573"/>
      <c r="AK2" s="574"/>
      <c r="AL2" s="575" t="s">
        <v>69</v>
      </c>
      <c r="AM2" s="576"/>
      <c r="AN2" s="576"/>
      <c r="AO2" s="576"/>
      <c r="AP2" s="576"/>
      <c r="AQ2" s="576"/>
      <c r="AR2" s="576"/>
      <c r="AS2" s="576"/>
      <c r="AT2" s="577"/>
      <c r="AU2" s="578" t="s">
        <v>70</v>
      </c>
      <c r="AV2" s="579"/>
      <c r="AW2" s="580"/>
      <c r="AX2" s="581" t="s">
        <v>71</v>
      </c>
      <c r="AY2" s="582"/>
      <c r="AZ2" s="582"/>
      <c r="BA2" s="582"/>
      <c r="BB2" s="583"/>
      <c r="BC2" s="584" t="s">
        <v>84</v>
      </c>
      <c r="BD2" s="585"/>
      <c r="BE2" s="586" t="s">
        <v>85</v>
      </c>
      <c r="BF2" s="587"/>
    </row>
    <row r="3" spans="1:58" s="625" customFormat="1" ht="30" customHeight="1">
      <c r="A3" s="589"/>
      <c r="B3" s="590"/>
      <c r="C3" s="591"/>
      <c r="D3" s="592"/>
      <c r="E3" s="593"/>
      <c r="F3" s="594"/>
      <c r="G3" s="595"/>
      <c r="H3" s="596"/>
      <c r="I3" s="597"/>
      <c r="J3" s="598"/>
      <c r="K3" s="599"/>
      <c r="L3" s="600"/>
      <c r="M3" s="601"/>
      <c r="N3" s="601"/>
      <c r="O3" s="602" t="s">
        <v>10</v>
      </c>
      <c r="P3" s="603" t="s">
        <v>11</v>
      </c>
      <c r="Q3" s="603" t="s">
        <v>12</v>
      </c>
      <c r="R3" s="604"/>
      <c r="S3" s="605"/>
      <c r="T3" s="606"/>
      <c r="U3" s="607"/>
      <c r="V3" s="608" t="s">
        <v>17</v>
      </c>
      <c r="W3" s="608" t="s">
        <v>18</v>
      </c>
      <c r="X3" s="608" t="s">
        <v>19</v>
      </c>
      <c r="Y3" s="608" t="s">
        <v>20</v>
      </c>
      <c r="Z3" s="609" t="s">
        <v>22</v>
      </c>
      <c r="AA3" s="609" t="s">
        <v>23</v>
      </c>
      <c r="AB3" s="609" t="s">
        <v>19</v>
      </c>
      <c r="AC3" s="609" t="s">
        <v>24</v>
      </c>
      <c r="AD3" s="610" t="s">
        <v>26</v>
      </c>
      <c r="AE3" s="610" t="s">
        <v>27</v>
      </c>
      <c r="AF3" s="610" t="s">
        <v>28</v>
      </c>
      <c r="AG3" s="610" t="s">
        <v>29</v>
      </c>
      <c r="AH3" s="610" t="s">
        <v>30</v>
      </c>
      <c r="AI3" s="610" t="s">
        <v>19</v>
      </c>
      <c r="AJ3" s="610" t="s">
        <v>31</v>
      </c>
      <c r="AK3" s="611" t="s">
        <v>32</v>
      </c>
      <c r="AL3" s="612" t="s">
        <v>34</v>
      </c>
      <c r="AM3" s="613" t="s">
        <v>35</v>
      </c>
      <c r="AN3" s="613" t="s">
        <v>29</v>
      </c>
      <c r="AO3" s="613" t="s">
        <v>30</v>
      </c>
      <c r="AP3" s="613" t="s">
        <v>26</v>
      </c>
      <c r="AQ3" s="613" t="s">
        <v>36</v>
      </c>
      <c r="AR3" s="613" t="s">
        <v>37</v>
      </c>
      <c r="AS3" s="613" t="s">
        <v>38</v>
      </c>
      <c r="AT3" s="614" t="s">
        <v>32</v>
      </c>
      <c r="AU3" s="615" t="s">
        <v>40</v>
      </c>
      <c r="AV3" s="616" t="s">
        <v>41</v>
      </c>
      <c r="AW3" s="617" t="s">
        <v>42</v>
      </c>
      <c r="AX3" s="618" t="s">
        <v>51</v>
      </c>
      <c r="AY3" s="619" t="s">
        <v>52</v>
      </c>
      <c r="AZ3" s="619" t="s">
        <v>53</v>
      </c>
      <c r="BA3" s="619" t="s">
        <v>86</v>
      </c>
      <c r="BB3" s="620" t="s">
        <v>87</v>
      </c>
      <c r="BC3" s="621" t="s">
        <v>44</v>
      </c>
      <c r="BD3" s="622" t="s">
        <v>45</v>
      </c>
      <c r="BE3" s="623" t="s">
        <v>88</v>
      </c>
      <c r="BF3" s="624" t="s">
        <v>89</v>
      </c>
    </row>
    <row r="4" spans="1:58" s="544" customFormat="1" ht="17.399999999999999">
      <c r="A4" s="626"/>
      <c r="B4" s="542"/>
      <c r="C4" s="543"/>
      <c r="D4" s="543"/>
      <c r="E4" s="543"/>
      <c r="F4" s="543"/>
      <c r="V4" s="546"/>
      <c r="W4" s="546"/>
      <c r="AF4" s="547"/>
      <c r="AG4" s="547"/>
      <c r="AH4" s="547"/>
      <c r="AI4" s="547"/>
      <c r="AJ4" s="547"/>
      <c r="AK4" s="547"/>
      <c r="AL4" s="547"/>
      <c r="AM4" s="547"/>
    </row>
    <row r="5" spans="1:58" s="544" customFormat="1" ht="17.399999999999999">
      <c r="A5" s="626"/>
      <c r="B5" s="542"/>
      <c r="C5" s="543"/>
      <c r="D5" s="543"/>
      <c r="E5" s="543"/>
      <c r="F5" s="543"/>
      <c r="V5" s="546"/>
      <c r="W5" s="546"/>
      <c r="AF5" s="547"/>
      <c r="AG5" s="547"/>
      <c r="AH5" s="547"/>
      <c r="AI5" s="547"/>
      <c r="AJ5" s="547"/>
      <c r="AK5" s="547"/>
      <c r="AL5" s="547"/>
      <c r="AM5" s="547"/>
    </row>
    <row r="6" spans="1:58" s="544" customFormat="1" ht="17.399999999999999">
      <c r="A6" s="626"/>
      <c r="B6" s="542"/>
      <c r="C6" s="543"/>
      <c r="D6" s="543"/>
      <c r="E6" s="543"/>
      <c r="F6" s="543"/>
      <c r="V6" s="546"/>
      <c r="W6" s="546"/>
      <c r="AF6" s="547"/>
      <c r="AG6" s="547"/>
      <c r="AH6" s="547"/>
      <c r="AI6" s="547"/>
      <c r="AJ6" s="547"/>
      <c r="AK6" s="547"/>
      <c r="AL6" s="547"/>
      <c r="AM6" s="547"/>
    </row>
    <row r="7" spans="1:58" s="544" customFormat="1" ht="17.399999999999999">
      <c r="A7" s="626"/>
      <c r="B7" s="542"/>
      <c r="C7" s="543"/>
      <c r="D7" s="543"/>
      <c r="E7" s="543"/>
      <c r="F7" s="543"/>
      <c r="V7" s="546"/>
      <c r="W7" s="546"/>
      <c r="AF7" s="547"/>
      <c r="AG7" s="547"/>
      <c r="AH7" s="547"/>
      <c r="AI7" s="547"/>
      <c r="AJ7" s="547"/>
      <c r="AK7" s="547"/>
      <c r="AL7" s="547"/>
      <c r="AM7" s="547"/>
    </row>
    <row r="8" spans="1:58" s="544" customFormat="1" ht="17.399999999999999">
      <c r="A8" s="626"/>
      <c r="B8" s="542"/>
      <c r="C8" s="543"/>
      <c r="D8" s="543"/>
      <c r="E8" s="543"/>
      <c r="F8" s="543"/>
      <c r="V8" s="546"/>
      <c r="W8" s="546"/>
      <c r="AF8" s="547"/>
      <c r="AG8" s="547"/>
      <c r="AH8" s="547"/>
      <c r="AI8" s="547"/>
      <c r="AJ8" s="547"/>
      <c r="AK8" s="547"/>
      <c r="AL8" s="547"/>
      <c r="AM8" s="547"/>
    </row>
  </sheetData>
  <autoFilter ref="A3:BF3" xr:uid="{00000000-0009-0000-0000-000001000000}"/>
  <mergeCells count="27">
    <mergeCell ref="A2:A3"/>
    <mergeCell ref="B2:B3"/>
    <mergeCell ref="C2:C3"/>
    <mergeCell ref="D2:D3"/>
    <mergeCell ref="AU2:AW2"/>
    <mergeCell ref="AX2:BB2"/>
    <mergeCell ref="BC2:BD2"/>
    <mergeCell ref="BE2:BF2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R2:R3"/>
    <mergeCell ref="O2:Q2"/>
    <mergeCell ref="V2:Y2"/>
    <mergeCell ref="Z2:AC2"/>
    <mergeCell ref="AD2:AK2"/>
    <mergeCell ref="AL2:AT2"/>
    <mergeCell ref="S2:S3"/>
    <mergeCell ref="T2:T3"/>
    <mergeCell ref="U2:U3"/>
  </mergeCells>
  <phoneticPr fontId="46" type="noConversion"/>
  <pageMargins left="0.7" right="0.7" top="0.75" bottom="0.75" header="0.3" footer="0.3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6"/>
  <sheetViews>
    <sheetView workbookViewId="0">
      <pane xSplit="2" ySplit="4" topLeftCell="AO5" activePane="bottomRight" state="frozen"/>
      <selection pane="topRight"/>
      <selection pane="bottomLeft"/>
      <selection pane="bottomRight" activeCell="BD3" sqref="BD3"/>
    </sheetView>
  </sheetViews>
  <sheetFormatPr defaultColWidth="9" defaultRowHeight="15.6" outlineLevelCol="1"/>
  <cols>
    <col min="1" max="1" width="14.59765625" style="192" bestFit="1" customWidth="1"/>
    <col min="2" max="2" width="11.19921875" style="193" customWidth="1"/>
    <col min="3" max="3" width="8.796875" style="193" customWidth="1"/>
    <col min="4" max="4" width="11.59765625" style="194" customWidth="1" outlineLevel="1"/>
    <col min="5" max="6" width="8" style="194" customWidth="1" outlineLevel="1"/>
    <col min="7" max="7" width="7.69921875" style="194" customWidth="1" outlineLevel="1"/>
    <col min="8" max="8" width="8" style="195" customWidth="1" outlineLevel="1"/>
    <col min="9" max="9" width="10.296875" style="195" customWidth="1" outlineLevel="1"/>
    <col min="10" max="10" width="10.09765625" style="195" customWidth="1"/>
    <col min="11" max="11" width="9.19921875" style="195" customWidth="1" outlineLevel="1"/>
    <col min="12" max="12" width="6" style="195" customWidth="1" outlineLevel="1"/>
    <col min="13" max="13" width="8.59765625" style="195" customWidth="1"/>
    <col min="14" max="14" width="9.59765625" style="195" customWidth="1"/>
    <col min="15" max="15" width="8.3984375" style="191" customWidth="1" outlineLevel="1"/>
    <col min="16" max="17" width="6.5" style="191" customWidth="1" outlineLevel="1"/>
    <col min="18" max="18" width="16.8984375" style="196" customWidth="1"/>
    <col min="19" max="19" width="15.296875" style="195" customWidth="1"/>
    <col min="20" max="20" width="11.296875" style="195" customWidth="1"/>
    <col min="21" max="21" width="15.3984375" style="197" customWidth="1"/>
    <col min="22" max="22" width="9.5" style="195" bestFit="1" customWidth="1" outlineLevel="1"/>
    <col min="23" max="23" width="8.19921875" style="195" bestFit="1" customWidth="1" outlineLevel="1"/>
    <col min="24" max="24" width="9.5" style="195" bestFit="1" customWidth="1" outlineLevel="1"/>
    <col min="25" max="25" width="10.796875" style="195" bestFit="1" customWidth="1" outlineLevel="1"/>
    <col min="26" max="26" width="9.5" style="195" bestFit="1" customWidth="1" outlineLevel="1"/>
    <col min="27" max="28" width="9.5" style="198" bestFit="1" customWidth="1" outlineLevel="1"/>
    <col min="29" max="29" width="8.19921875" style="195" bestFit="1" customWidth="1" outlineLevel="1"/>
    <col min="30" max="30" width="9.5" style="199" bestFit="1" customWidth="1" outlineLevel="1"/>
    <col min="31" max="31" width="7.796875" style="199" bestFit="1" customWidth="1" outlineLevel="1"/>
    <col min="32" max="33" width="8.19921875" style="199" bestFit="1" customWidth="1" outlineLevel="1"/>
    <col min="34" max="34" width="8.3984375" style="199" bestFit="1" customWidth="1" outlineLevel="1"/>
    <col min="35" max="35" width="7.796875" style="199" bestFit="1" customWidth="1" outlineLevel="1"/>
    <col min="36" max="36" width="8.19921875" style="199" bestFit="1" customWidth="1" outlineLevel="1"/>
    <col min="37" max="37" width="8.19921875" style="199" bestFit="1" customWidth="1"/>
    <col min="38" max="38" width="8.19921875" style="195" bestFit="1" customWidth="1" outlineLevel="1"/>
    <col min="39" max="39" width="13.19921875" style="195" bestFit="1" customWidth="1" outlineLevel="1"/>
    <col min="40" max="40" width="10.796875" style="195" bestFit="1" customWidth="1" outlineLevel="1"/>
    <col min="41" max="41" width="8.796875" style="195" bestFit="1" customWidth="1" outlineLevel="1"/>
    <col min="42" max="43" width="9.5" style="195" bestFit="1" customWidth="1" outlineLevel="1"/>
    <col min="44" max="44" width="9.296875" style="195" bestFit="1" customWidth="1" outlineLevel="1"/>
    <col min="45" max="45" width="8.19921875" style="195" bestFit="1" customWidth="1" outlineLevel="1"/>
    <col min="46" max="46" width="8.19921875" style="195" bestFit="1" customWidth="1"/>
    <col min="47" max="48" width="8" style="195" bestFit="1" customWidth="1"/>
    <col min="49" max="49" width="8.796875" style="195" bestFit="1" customWidth="1"/>
    <col min="50" max="51" width="9.19921875" style="195" bestFit="1" customWidth="1"/>
    <col min="52" max="54" width="8" style="195" bestFit="1" customWidth="1"/>
    <col min="55" max="55" width="10.3984375" style="195" bestFit="1" customWidth="1"/>
    <col min="56" max="56" width="11.59765625" style="195" bestFit="1" customWidth="1"/>
    <col min="57" max="57" width="9.19921875" style="195" bestFit="1" customWidth="1"/>
    <col min="58" max="58" width="4" style="195" bestFit="1" customWidth="1"/>
    <col min="59" max="16384" width="9" style="195"/>
  </cols>
  <sheetData>
    <row r="1" spans="1:58" ht="22.05" customHeight="1">
      <c r="A1" s="200" t="s">
        <v>91</v>
      </c>
      <c r="F1" s="201" t="s">
        <v>92</v>
      </c>
      <c r="G1" s="202"/>
      <c r="H1" s="202"/>
      <c r="I1" s="201" t="s">
        <v>93</v>
      </c>
      <c r="J1" s="202"/>
      <c r="K1" s="201" t="s">
        <v>94</v>
      </c>
      <c r="L1" s="202"/>
      <c r="R1" s="203"/>
      <c r="S1" s="204"/>
    </row>
    <row r="2" spans="1:58" s="189" customFormat="1" ht="25.5" customHeight="1">
      <c r="A2" s="474" t="s">
        <v>65</v>
      </c>
      <c r="B2" s="476" t="s">
        <v>66</v>
      </c>
      <c r="C2" s="478" t="s">
        <v>67</v>
      </c>
      <c r="D2" s="480" t="s">
        <v>68</v>
      </c>
      <c r="E2" s="454" t="s">
        <v>69</v>
      </c>
      <c r="F2" s="456" t="s">
        <v>70</v>
      </c>
      <c r="G2" s="458" t="s">
        <v>71</v>
      </c>
      <c r="H2" s="460" t="s">
        <v>72</v>
      </c>
      <c r="I2" s="462" t="s">
        <v>73</v>
      </c>
      <c r="J2" s="464" t="s">
        <v>74</v>
      </c>
      <c r="K2" s="466" t="s">
        <v>75</v>
      </c>
      <c r="L2" s="468" t="s">
        <v>76</v>
      </c>
      <c r="M2" s="470" t="s">
        <v>77</v>
      </c>
      <c r="N2" s="470" t="s">
        <v>78</v>
      </c>
      <c r="O2" s="424" t="s">
        <v>79</v>
      </c>
      <c r="P2" s="424"/>
      <c r="Q2" s="424"/>
      <c r="R2" s="472" t="s">
        <v>80</v>
      </c>
      <c r="S2" s="438" t="s">
        <v>81</v>
      </c>
      <c r="T2" s="440" t="s">
        <v>82</v>
      </c>
      <c r="U2" s="442" t="s">
        <v>83</v>
      </c>
      <c r="V2" s="425" t="s">
        <v>73</v>
      </c>
      <c r="W2" s="426"/>
      <c r="X2" s="426"/>
      <c r="Y2" s="427"/>
      <c r="Z2" s="428" t="s">
        <v>67</v>
      </c>
      <c r="AA2" s="429"/>
      <c r="AB2" s="429"/>
      <c r="AC2" s="430"/>
      <c r="AD2" s="431" t="s">
        <v>68</v>
      </c>
      <c r="AE2" s="432"/>
      <c r="AF2" s="433"/>
      <c r="AG2" s="433"/>
      <c r="AH2" s="433"/>
      <c r="AI2" s="433"/>
      <c r="AJ2" s="433"/>
      <c r="AK2" s="434"/>
      <c r="AL2" s="435" t="s">
        <v>69</v>
      </c>
      <c r="AM2" s="436"/>
      <c r="AN2" s="436"/>
      <c r="AO2" s="436"/>
      <c r="AP2" s="436"/>
      <c r="AQ2" s="436"/>
      <c r="AR2" s="436"/>
      <c r="AS2" s="436"/>
      <c r="AT2" s="437"/>
      <c r="AU2" s="444" t="s">
        <v>70</v>
      </c>
      <c r="AV2" s="445"/>
      <c r="AW2" s="446"/>
      <c r="AX2" s="447" t="s">
        <v>71</v>
      </c>
      <c r="AY2" s="448"/>
      <c r="AZ2" s="448"/>
      <c r="BA2" s="448"/>
      <c r="BB2" s="449"/>
      <c r="BC2" s="450" t="s">
        <v>84</v>
      </c>
      <c r="BD2" s="451"/>
      <c r="BE2" s="452" t="s">
        <v>85</v>
      </c>
      <c r="BF2" s="453"/>
    </row>
    <row r="3" spans="1:58" s="190" customFormat="1" ht="30" customHeight="1">
      <c r="A3" s="475"/>
      <c r="B3" s="477"/>
      <c r="C3" s="479"/>
      <c r="D3" s="481"/>
      <c r="E3" s="455"/>
      <c r="F3" s="457"/>
      <c r="G3" s="459"/>
      <c r="H3" s="461"/>
      <c r="I3" s="463"/>
      <c r="J3" s="465"/>
      <c r="K3" s="467"/>
      <c r="L3" s="469"/>
      <c r="M3" s="471"/>
      <c r="N3" s="471"/>
      <c r="O3" s="205" t="s">
        <v>10</v>
      </c>
      <c r="P3" s="206" t="s">
        <v>11</v>
      </c>
      <c r="Q3" s="206" t="s">
        <v>12</v>
      </c>
      <c r="R3" s="473"/>
      <c r="S3" s="439"/>
      <c r="T3" s="441"/>
      <c r="U3" s="443"/>
      <c r="V3" s="207" t="s">
        <v>17</v>
      </c>
      <c r="W3" s="207" t="s">
        <v>18</v>
      </c>
      <c r="X3" s="207" t="s">
        <v>19</v>
      </c>
      <c r="Y3" s="207" t="s">
        <v>20</v>
      </c>
      <c r="Z3" s="208" t="s">
        <v>22</v>
      </c>
      <c r="AA3" s="208" t="s">
        <v>23</v>
      </c>
      <c r="AB3" s="208" t="s">
        <v>19</v>
      </c>
      <c r="AC3" s="208" t="s">
        <v>24</v>
      </c>
      <c r="AD3" s="209" t="s">
        <v>118</v>
      </c>
      <c r="AE3" s="209" t="s">
        <v>27</v>
      </c>
      <c r="AF3" s="209" t="s">
        <v>28</v>
      </c>
      <c r="AG3" s="209" t="s">
        <v>29</v>
      </c>
      <c r="AH3" s="209" t="s">
        <v>119</v>
      </c>
      <c r="AI3" s="209" t="s">
        <v>19</v>
      </c>
      <c r="AJ3" s="209" t="s">
        <v>31</v>
      </c>
      <c r="AK3" s="210" t="s">
        <v>32</v>
      </c>
      <c r="AL3" s="211" t="s">
        <v>34</v>
      </c>
      <c r="AM3" s="212" t="s">
        <v>120</v>
      </c>
      <c r="AN3" s="212" t="s">
        <v>29</v>
      </c>
      <c r="AO3" s="212" t="s">
        <v>119</v>
      </c>
      <c r="AP3" s="212" t="s">
        <v>118</v>
      </c>
      <c r="AQ3" s="212" t="s">
        <v>36</v>
      </c>
      <c r="AR3" s="212" t="s">
        <v>121</v>
      </c>
      <c r="AS3" s="212" t="s">
        <v>38</v>
      </c>
      <c r="AT3" s="213" t="s">
        <v>32</v>
      </c>
      <c r="AU3" s="214" t="s">
        <v>40</v>
      </c>
      <c r="AV3" s="215" t="s">
        <v>41</v>
      </c>
      <c r="AW3" s="216" t="s">
        <v>42</v>
      </c>
      <c r="AX3" s="217" t="s">
        <v>51</v>
      </c>
      <c r="AY3" s="218" t="s">
        <v>52</v>
      </c>
      <c r="AZ3" s="218" t="s">
        <v>53</v>
      </c>
      <c r="BA3" s="218" t="s">
        <v>86</v>
      </c>
      <c r="BB3" s="219" t="s">
        <v>87</v>
      </c>
      <c r="BC3" s="220" t="s">
        <v>44</v>
      </c>
      <c r="BD3" s="221" t="s">
        <v>122</v>
      </c>
      <c r="BE3" s="222" t="s">
        <v>88</v>
      </c>
      <c r="BF3" s="223" t="s">
        <v>89</v>
      </c>
    </row>
    <row r="4" spans="1:58" s="191" customFormat="1" ht="15" customHeight="1">
      <c r="A4" s="485" t="s">
        <v>90</v>
      </c>
      <c r="B4" s="486"/>
      <c r="C4" s="224"/>
      <c r="D4" s="225"/>
      <c r="E4" s="225"/>
      <c r="F4" s="225"/>
      <c r="G4" s="225"/>
      <c r="H4" s="226"/>
      <c r="I4" s="226"/>
      <c r="J4" s="225"/>
      <c r="K4" s="226"/>
      <c r="L4" s="226"/>
      <c r="M4" s="226"/>
      <c r="N4" s="226"/>
      <c r="O4" s="226"/>
      <c r="P4" s="226"/>
      <c r="Q4" s="226"/>
      <c r="R4" s="227">
        <v>0</v>
      </c>
      <c r="S4" s="226"/>
      <c r="T4" s="226"/>
      <c r="U4" s="228"/>
      <c r="V4" s="226"/>
      <c r="W4" s="226"/>
      <c r="X4" s="226"/>
      <c r="Y4" s="226"/>
      <c r="Z4" s="226"/>
      <c r="AA4" s="229"/>
      <c r="AB4" s="229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30"/>
      <c r="BE4" s="226"/>
      <c r="BF4" s="230"/>
    </row>
    <row r="5" spans="1:58" s="191" customFormat="1" ht="15" customHeight="1">
      <c r="A5" s="305"/>
      <c r="B5" s="306"/>
      <c r="C5" s="307">
        <f>SUM(Z5:AC5)</f>
        <v>0</v>
      </c>
      <c r="D5" s="307">
        <f>SUM(AD5:AK5)</f>
        <v>0</v>
      </c>
      <c r="E5" s="308">
        <f>SUM(AL5:AT5)</f>
        <v>0</v>
      </c>
      <c r="F5" s="308">
        <f>SUM(AU5:AW5)</f>
        <v>0</v>
      </c>
      <c r="G5" s="308">
        <f>SUM(AX5:BB5)</f>
        <v>0</v>
      </c>
      <c r="H5" s="308">
        <f>SUM(BC5:BD5)</f>
        <v>0</v>
      </c>
      <c r="I5" s="308">
        <f>SUM(V5:Y5)</f>
        <v>0</v>
      </c>
      <c r="J5" s="309">
        <f>SUM(C5:I5)</f>
        <v>0</v>
      </c>
      <c r="K5" s="310"/>
      <c r="L5" s="311"/>
      <c r="M5" s="312"/>
      <c r="N5" s="313"/>
      <c r="O5" s="314"/>
      <c r="P5" s="313"/>
      <c r="Q5" s="313"/>
      <c r="R5" s="315">
        <f>R4+SUM(O5:Q5)-SUM(J5:N5)</f>
        <v>0</v>
      </c>
      <c r="S5" s="316"/>
      <c r="T5" s="317"/>
      <c r="U5" s="318"/>
      <c r="V5" s="319"/>
      <c r="W5" s="320"/>
      <c r="X5" s="320"/>
      <c r="Y5" s="320"/>
      <c r="Z5" s="320"/>
      <c r="AA5" s="321"/>
      <c r="AB5" s="322"/>
      <c r="AC5" s="323"/>
      <c r="AD5" s="324"/>
      <c r="AE5" s="325"/>
      <c r="AF5" s="326"/>
      <c r="AG5" s="326"/>
      <c r="AH5" s="326"/>
      <c r="AI5" s="326"/>
      <c r="AJ5" s="326"/>
      <c r="AK5" s="327"/>
      <c r="AL5" s="328"/>
      <c r="AM5" s="326"/>
      <c r="AN5" s="326"/>
      <c r="AO5" s="326"/>
      <c r="AP5" s="326"/>
      <c r="AQ5" s="326"/>
      <c r="AR5" s="326"/>
      <c r="AS5" s="326"/>
      <c r="AT5" s="329"/>
      <c r="AU5" s="325"/>
      <c r="AV5" s="327"/>
      <c r="AW5" s="330"/>
      <c r="AX5" s="331"/>
      <c r="AY5" s="332"/>
      <c r="AZ5" s="332"/>
      <c r="BA5" s="332"/>
      <c r="BB5" s="333"/>
      <c r="BC5" s="334"/>
      <c r="BD5" s="333"/>
      <c r="BE5" s="334"/>
      <c r="BF5" s="323"/>
    </row>
    <row r="6" spans="1:58" s="191" customFormat="1" ht="15" customHeight="1" thickBot="1">
      <c r="A6" s="305"/>
      <c r="B6" s="306"/>
      <c r="C6" s="307">
        <f>SUM(Z6:AC6)</f>
        <v>0</v>
      </c>
      <c r="D6" s="307">
        <f>SUM(AD6:AK6)</f>
        <v>0</v>
      </c>
      <c r="E6" s="308">
        <f>SUM(AL6:AT6)</f>
        <v>0</v>
      </c>
      <c r="F6" s="308">
        <f>SUM(AU6:AW6)</f>
        <v>0</v>
      </c>
      <c r="G6" s="308">
        <f>SUM(AX6:BB6)</f>
        <v>0</v>
      </c>
      <c r="H6" s="308">
        <f>SUM(BC6:BD6)</f>
        <v>0</v>
      </c>
      <c r="I6" s="308">
        <f>SUM(V6:Y6)</f>
        <v>0</v>
      </c>
      <c r="J6" s="309">
        <f>SUM(C6:I6)</f>
        <v>0</v>
      </c>
      <c r="K6" s="310"/>
      <c r="L6" s="337"/>
      <c r="M6" s="338"/>
      <c r="N6" s="339"/>
      <c r="O6" s="340"/>
      <c r="P6" s="339"/>
      <c r="Q6" s="339"/>
      <c r="R6" s="315">
        <f>R5+SUM(O6:Q6)-SUM(J6:N6)</f>
        <v>0</v>
      </c>
      <c r="S6" s="316"/>
      <c r="T6" s="317"/>
      <c r="U6" s="318"/>
      <c r="V6" s="341"/>
      <c r="W6" s="334"/>
      <c r="X6" s="334"/>
      <c r="Y6" s="334"/>
      <c r="Z6" s="334"/>
      <c r="AA6" s="342"/>
      <c r="AB6" s="322"/>
      <c r="AC6" s="333"/>
      <c r="AD6" s="324"/>
      <c r="AE6" s="325"/>
      <c r="AF6" s="326"/>
      <c r="AG6" s="326"/>
      <c r="AH6" s="326"/>
      <c r="AI6" s="326"/>
      <c r="AJ6" s="326"/>
      <c r="AK6" s="327"/>
      <c r="AL6" s="328"/>
      <c r="AM6" s="326"/>
      <c r="AN6" s="326"/>
      <c r="AO6" s="326"/>
      <c r="AP6" s="326"/>
      <c r="AQ6" s="326"/>
      <c r="AR6" s="326"/>
      <c r="AS6" s="326"/>
      <c r="AT6" s="329"/>
      <c r="AU6" s="325"/>
      <c r="AV6" s="327"/>
      <c r="AW6" s="330"/>
      <c r="AX6" s="331"/>
      <c r="AY6" s="332"/>
      <c r="AZ6" s="332"/>
      <c r="BA6" s="332"/>
      <c r="BB6" s="333"/>
      <c r="BC6" s="334"/>
      <c r="BD6" s="333"/>
      <c r="BE6" s="334"/>
      <c r="BF6" s="333"/>
    </row>
    <row r="7" spans="1:58" ht="15" customHeight="1" thickBot="1">
      <c r="A7" s="343" t="s">
        <v>95</v>
      </c>
      <c r="B7" s="344"/>
      <c r="C7" s="345">
        <f>SUM(C5:C6)</f>
        <v>0</v>
      </c>
      <c r="D7" s="345">
        <f>SUM(D5:D6)</f>
        <v>0</v>
      </c>
      <c r="E7" s="345">
        <f t="shared" ref="E7:J7" si="0">SUM(E5:E6)</f>
        <v>0</v>
      </c>
      <c r="F7" s="345">
        <f t="shared" si="0"/>
        <v>0</v>
      </c>
      <c r="G7" s="345">
        <f t="shared" si="0"/>
        <v>0</v>
      </c>
      <c r="H7" s="345">
        <f t="shared" si="0"/>
        <v>0</v>
      </c>
      <c r="I7" s="345">
        <f t="shared" si="0"/>
        <v>0</v>
      </c>
      <c r="J7" s="345">
        <f t="shared" si="0"/>
        <v>0</v>
      </c>
      <c r="K7" s="345">
        <f t="shared" ref="K7" si="1">SUM(K5:K6)</f>
        <v>0</v>
      </c>
      <c r="L7" s="345">
        <f t="shared" ref="L7" si="2">SUM(L5:L6)</f>
        <v>0</v>
      </c>
      <c r="M7" s="345">
        <f t="shared" ref="M7" si="3">SUM(M5:M6)</f>
        <v>0</v>
      </c>
      <c r="N7" s="345">
        <f t="shared" ref="N7" si="4">SUM(N5:N6)</f>
        <v>0</v>
      </c>
      <c r="O7" s="345">
        <f t="shared" ref="O7:P7" si="5">SUM(O5:O6)</f>
        <v>0</v>
      </c>
      <c r="P7" s="345">
        <f t="shared" si="5"/>
        <v>0</v>
      </c>
      <c r="Q7" s="345">
        <f t="shared" ref="Q7" si="6">SUM(Q5:Q6)</f>
        <v>0</v>
      </c>
      <c r="R7" s="345">
        <f>R4+SUM(O7:Q7)-SUM(K7:N7)-J7</f>
        <v>0</v>
      </c>
      <c r="S7" s="345"/>
      <c r="T7" s="345"/>
      <c r="U7" s="345"/>
      <c r="V7" s="345">
        <f t="shared" ref="V7" si="7">SUM(V5:V6)</f>
        <v>0</v>
      </c>
      <c r="W7" s="345">
        <f t="shared" ref="W7" si="8">SUM(W5:W6)</f>
        <v>0</v>
      </c>
      <c r="X7" s="345">
        <f t="shared" ref="X7" si="9">SUM(X5:X6)</f>
        <v>0</v>
      </c>
      <c r="Y7" s="345">
        <f t="shared" ref="Y7" si="10">SUM(Y5:Y6)</f>
        <v>0</v>
      </c>
      <c r="Z7" s="345">
        <f t="shared" ref="Z7" si="11">SUM(Z5:Z6)</f>
        <v>0</v>
      </c>
      <c r="AA7" s="345">
        <f t="shared" ref="AA7:AB7" si="12">SUM(AA5:AA6)</f>
        <v>0</v>
      </c>
      <c r="AB7" s="345">
        <f t="shared" si="12"/>
        <v>0</v>
      </c>
      <c r="AC7" s="345">
        <f t="shared" ref="AC7" si="13">SUM(AC5:AC6)</f>
        <v>0</v>
      </c>
      <c r="AD7" s="346">
        <f>SUM(AD5:AD6)</f>
        <v>0</v>
      </c>
      <c r="AE7" s="346">
        <f>SUM(AE5:AE6)</f>
        <v>0</v>
      </c>
      <c r="AF7" s="346">
        <f t="shared" ref="AF7:BF7" si="14">SUM(AF5:AF6)</f>
        <v>0</v>
      </c>
      <c r="AG7" s="346">
        <f t="shared" si="14"/>
        <v>0</v>
      </c>
      <c r="AH7" s="346">
        <f t="shared" si="14"/>
        <v>0</v>
      </c>
      <c r="AI7" s="346">
        <f t="shared" si="14"/>
        <v>0</v>
      </c>
      <c r="AJ7" s="346">
        <f t="shared" si="14"/>
        <v>0</v>
      </c>
      <c r="AK7" s="346">
        <f t="shared" si="14"/>
        <v>0</v>
      </c>
      <c r="AL7" s="346">
        <f t="shared" si="14"/>
        <v>0</v>
      </c>
      <c r="AM7" s="346">
        <f t="shared" si="14"/>
        <v>0</v>
      </c>
      <c r="AN7" s="346">
        <f t="shared" si="14"/>
        <v>0</v>
      </c>
      <c r="AO7" s="346">
        <f t="shared" si="14"/>
        <v>0</v>
      </c>
      <c r="AP7" s="346">
        <f t="shared" si="14"/>
        <v>0</v>
      </c>
      <c r="AQ7" s="346">
        <f t="shared" si="14"/>
        <v>0</v>
      </c>
      <c r="AR7" s="346">
        <f t="shared" si="14"/>
        <v>0</v>
      </c>
      <c r="AS7" s="346">
        <f t="shared" si="14"/>
        <v>0</v>
      </c>
      <c r="AT7" s="346">
        <f t="shared" si="14"/>
        <v>0</v>
      </c>
      <c r="AU7" s="346">
        <f t="shared" si="14"/>
        <v>0</v>
      </c>
      <c r="AV7" s="346">
        <f t="shared" si="14"/>
        <v>0</v>
      </c>
      <c r="AW7" s="346">
        <f t="shared" si="14"/>
        <v>0</v>
      </c>
      <c r="AX7" s="346">
        <f t="shared" si="14"/>
        <v>0</v>
      </c>
      <c r="AY7" s="346">
        <f t="shared" si="14"/>
        <v>0</v>
      </c>
      <c r="AZ7" s="346">
        <f t="shared" si="14"/>
        <v>0</v>
      </c>
      <c r="BA7" s="346">
        <f t="shared" si="14"/>
        <v>0</v>
      </c>
      <c r="BB7" s="346">
        <f t="shared" si="14"/>
        <v>0</v>
      </c>
      <c r="BC7" s="346">
        <f t="shared" si="14"/>
        <v>0</v>
      </c>
      <c r="BD7" s="346">
        <f t="shared" si="14"/>
        <v>0</v>
      </c>
      <c r="BE7" s="346">
        <f t="shared" si="14"/>
        <v>0</v>
      </c>
      <c r="BF7" s="346">
        <f t="shared" si="14"/>
        <v>0</v>
      </c>
    </row>
    <row r="8" spans="1:58" ht="15" customHeight="1" thickBot="1">
      <c r="A8" s="347" t="s">
        <v>96</v>
      </c>
      <c r="B8" s="348"/>
      <c r="C8" s="349"/>
      <c r="D8" s="350"/>
      <c r="E8" s="351"/>
      <c r="F8" s="351"/>
      <c r="G8" s="351"/>
      <c r="H8" s="351"/>
      <c r="I8" s="351"/>
      <c r="J8" s="352"/>
      <c r="K8" s="353"/>
      <c r="L8" s="353"/>
      <c r="M8" s="354"/>
      <c r="N8" s="355"/>
      <c r="O8" s="356"/>
      <c r="P8" s="357"/>
      <c r="Q8" s="357"/>
      <c r="R8" s="358"/>
      <c r="S8" s="350"/>
      <c r="T8" s="351"/>
      <c r="U8" s="359"/>
      <c r="V8" s="360"/>
      <c r="W8" s="361"/>
      <c r="X8" s="361"/>
      <c r="Y8" s="361"/>
      <c r="Z8" s="361"/>
      <c r="AA8" s="362"/>
      <c r="AB8" s="363"/>
      <c r="AC8" s="364"/>
      <c r="AD8" s="360"/>
      <c r="AE8" s="361"/>
      <c r="AF8" s="365"/>
      <c r="AG8" s="365"/>
      <c r="AH8" s="365"/>
      <c r="AI8" s="365"/>
      <c r="AJ8" s="365"/>
      <c r="AK8" s="366"/>
      <c r="AL8" s="360"/>
      <c r="AM8" s="365"/>
      <c r="AN8" s="365"/>
      <c r="AO8" s="365"/>
      <c r="AP8" s="365"/>
      <c r="AQ8" s="365"/>
      <c r="AR8" s="365"/>
      <c r="AS8" s="365"/>
      <c r="AT8" s="366"/>
      <c r="AU8" s="360"/>
      <c r="AV8" s="367"/>
      <c r="AW8" s="366"/>
      <c r="AX8" s="360"/>
      <c r="AY8" s="365"/>
      <c r="AZ8" s="365"/>
      <c r="BA8" s="365"/>
      <c r="BB8" s="366"/>
      <c r="BC8" s="360"/>
      <c r="BD8" s="364"/>
      <c r="BE8" s="360"/>
      <c r="BF8" s="364"/>
    </row>
    <row r="9" spans="1:58" ht="15" customHeight="1">
      <c r="A9" s="368"/>
      <c r="B9" s="369"/>
      <c r="C9" s="370"/>
      <c r="D9" s="335"/>
      <c r="E9" s="336"/>
      <c r="F9" s="336"/>
      <c r="G9" s="336"/>
      <c r="H9" s="336"/>
      <c r="I9" s="336"/>
      <c r="J9" s="371"/>
      <c r="K9" s="337"/>
      <c r="L9" s="372"/>
      <c r="M9" s="373"/>
      <c r="N9" s="339"/>
      <c r="O9" s="340"/>
      <c r="P9" s="339"/>
      <c r="Q9" s="339"/>
      <c r="R9" s="315"/>
      <c r="S9" s="335"/>
      <c r="T9" s="336"/>
      <c r="U9" s="374"/>
      <c r="V9" s="375"/>
      <c r="W9" s="376"/>
      <c r="X9" s="376"/>
      <c r="Y9" s="376"/>
      <c r="Z9" s="376"/>
      <c r="AA9" s="377"/>
      <c r="AB9" s="378"/>
      <c r="AC9" s="379"/>
      <c r="AD9" s="375"/>
      <c r="AE9" s="376"/>
      <c r="AF9" s="380"/>
      <c r="AG9" s="380"/>
      <c r="AH9" s="380"/>
      <c r="AI9" s="380"/>
      <c r="AJ9" s="380"/>
      <c r="AK9" s="381"/>
      <c r="AL9" s="375"/>
      <c r="AM9" s="380"/>
      <c r="AN9" s="380"/>
      <c r="AO9" s="380"/>
      <c r="AP9" s="380"/>
      <c r="AQ9" s="380"/>
      <c r="AR9" s="380"/>
      <c r="AS9" s="380"/>
      <c r="AT9" s="381"/>
      <c r="AU9" s="375"/>
      <c r="AV9" s="382"/>
      <c r="AW9" s="381"/>
      <c r="AX9" s="375"/>
      <c r="AY9" s="380"/>
      <c r="AZ9" s="380"/>
      <c r="BA9" s="380"/>
      <c r="BB9" s="381"/>
      <c r="BC9" s="375"/>
      <c r="BD9" s="379"/>
      <c r="BE9" s="375"/>
      <c r="BF9" s="379"/>
    </row>
    <row r="10" spans="1:58" ht="15" customHeight="1">
      <c r="A10" s="368"/>
      <c r="B10" s="369"/>
      <c r="C10" s="370"/>
      <c r="D10" s="335"/>
      <c r="E10" s="336"/>
      <c r="F10" s="336"/>
      <c r="G10" s="336"/>
      <c r="H10" s="336"/>
      <c r="I10" s="336"/>
      <c r="J10" s="371"/>
      <c r="K10" s="337"/>
      <c r="L10" s="372"/>
      <c r="M10" s="373"/>
      <c r="N10" s="339"/>
      <c r="O10" s="340"/>
      <c r="P10" s="339"/>
      <c r="Q10" s="339"/>
      <c r="R10" s="315"/>
      <c r="S10" s="335"/>
      <c r="T10" s="336"/>
      <c r="U10" s="383"/>
      <c r="V10" s="375"/>
      <c r="W10" s="376"/>
      <c r="X10" s="376"/>
      <c r="Y10" s="376"/>
      <c r="Z10" s="376"/>
      <c r="AA10" s="377"/>
      <c r="AB10" s="378"/>
      <c r="AC10" s="379"/>
      <c r="AD10" s="384"/>
      <c r="AE10" s="384"/>
      <c r="AF10" s="380"/>
      <c r="AG10" s="380"/>
      <c r="AH10" s="380"/>
      <c r="AI10" s="380"/>
      <c r="AJ10" s="380"/>
      <c r="AK10" s="381"/>
      <c r="AL10" s="375"/>
      <c r="AM10" s="380"/>
      <c r="AN10" s="380"/>
      <c r="AO10" s="380"/>
      <c r="AP10" s="380"/>
      <c r="AQ10" s="380"/>
      <c r="AR10" s="380"/>
      <c r="AS10" s="380"/>
      <c r="AT10" s="381"/>
      <c r="AU10" s="375"/>
      <c r="AV10" s="382"/>
      <c r="AW10" s="381"/>
      <c r="AX10" s="375"/>
      <c r="AY10" s="380"/>
      <c r="AZ10" s="380"/>
      <c r="BA10" s="380"/>
      <c r="BB10" s="381"/>
      <c r="BC10" s="375"/>
      <c r="BD10" s="379"/>
      <c r="BE10" s="375"/>
      <c r="BF10" s="379"/>
    </row>
    <row r="11" spans="1:58" ht="15" customHeight="1">
      <c r="A11" s="368"/>
      <c r="B11" s="369"/>
      <c r="C11" s="385"/>
      <c r="D11" s="386"/>
      <c r="E11" s="387"/>
      <c r="F11" s="387"/>
      <c r="G11" s="387"/>
      <c r="H11" s="387"/>
      <c r="I11" s="387"/>
      <c r="J11" s="388"/>
      <c r="K11" s="389"/>
      <c r="L11" s="390"/>
      <c r="M11" s="391"/>
      <c r="N11" s="392"/>
      <c r="O11" s="393"/>
      <c r="P11" s="392"/>
      <c r="Q11" s="392"/>
      <c r="R11" s="315"/>
      <c r="S11" s="335"/>
      <c r="T11" s="336"/>
      <c r="U11" s="374"/>
      <c r="V11" s="394"/>
      <c r="W11" s="395"/>
      <c r="X11" s="395"/>
      <c r="Y11" s="395"/>
      <c r="Z11" s="395"/>
      <c r="AA11" s="396"/>
      <c r="AB11" s="397"/>
      <c r="AC11" s="398"/>
      <c r="AD11" s="394"/>
      <c r="AE11" s="395"/>
      <c r="AF11" s="399"/>
      <c r="AG11" s="399"/>
      <c r="AH11" s="399"/>
      <c r="AI11" s="399"/>
      <c r="AJ11" s="399"/>
      <c r="AK11" s="400"/>
      <c r="AL11" s="394"/>
      <c r="AM11" s="399"/>
      <c r="AN11" s="395"/>
      <c r="AO11" s="399"/>
      <c r="AP11" s="399"/>
      <c r="AQ11" s="399"/>
      <c r="AR11" s="399"/>
      <c r="AS11" s="399"/>
      <c r="AT11" s="400"/>
      <c r="AU11" s="394"/>
      <c r="AV11" s="401"/>
      <c r="AW11" s="400"/>
      <c r="AX11" s="394"/>
      <c r="AY11" s="399"/>
      <c r="AZ11" s="399"/>
      <c r="BA11" s="399"/>
      <c r="BB11" s="400"/>
      <c r="BC11" s="394"/>
      <c r="BD11" s="398"/>
      <c r="BE11" s="394"/>
      <c r="BF11" s="398"/>
    </row>
    <row r="12" spans="1:58" ht="15" customHeight="1" thickBot="1">
      <c r="A12" s="402" t="s">
        <v>97</v>
      </c>
      <c r="B12" s="403"/>
      <c r="C12" s="404"/>
      <c r="D12" s="405"/>
      <c r="E12" s="406"/>
      <c r="F12" s="406"/>
      <c r="G12" s="406"/>
      <c r="H12" s="406"/>
      <c r="I12" s="406"/>
      <c r="J12" s="407"/>
      <c r="K12" s="408"/>
      <c r="L12" s="408"/>
      <c r="M12" s="409"/>
      <c r="N12" s="410"/>
      <c r="O12" s="411"/>
      <c r="P12" s="412"/>
      <c r="Q12" s="412"/>
      <c r="R12" s="413"/>
      <c r="S12" s="414"/>
      <c r="T12" s="406"/>
      <c r="U12" s="415"/>
      <c r="V12" s="416"/>
      <c r="W12" s="417"/>
      <c r="X12" s="417"/>
      <c r="Y12" s="417"/>
      <c r="Z12" s="417"/>
      <c r="AA12" s="418"/>
      <c r="AB12" s="419"/>
      <c r="AC12" s="420"/>
      <c r="AD12" s="416"/>
      <c r="AE12" s="417"/>
      <c r="AF12" s="421"/>
      <c r="AG12" s="421"/>
      <c r="AH12" s="421"/>
      <c r="AI12" s="421"/>
      <c r="AJ12" s="421"/>
      <c r="AK12" s="422"/>
      <c r="AL12" s="416"/>
      <c r="AM12" s="421"/>
      <c r="AN12" s="416"/>
      <c r="AO12" s="421"/>
      <c r="AP12" s="421"/>
      <c r="AQ12" s="421"/>
      <c r="AR12" s="421"/>
      <c r="AS12" s="421"/>
      <c r="AT12" s="422"/>
      <c r="AU12" s="416"/>
      <c r="AV12" s="423"/>
      <c r="AW12" s="422"/>
      <c r="AX12" s="416"/>
      <c r="AY12" s="421"/>
      <c r="AZ12" s="421"/>
      <c r="BA12" s="421"/>
      <c r="BB12" s="422"/>
      <c r="BC12" s="416"/>
      <c r="BD12" s="420"/>
      <c r="BE12" s="416"/>
      <c r="BF12" s="420"/>
    </row>
    <row r="13" spans="1:58" ht="15" customHeight="1" thickBot="1">
      <c r="A13" s="303" t="s">
        <v>95</v>
      </c>
      <c r="B13" s="304"/>
      <c r="C13" s="232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3"/>
      <c r="P13" s="233"/>
      <c r="Q13" s="233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</row>
    <row r="16" spans="1:58" ht="19.8" customHeight="1"/>
  </sheetData>
  <autoFilter ref="A3:BE13" xr:uid="{00000000-0009-0000-0000-000003000000}"/>
  <mergeCells count="28">
    <mergeCell ref="A2:A3"/>
    <mergeCell ref="B2:B3"/>
    <mergeCell ref="C2:C3"/>
    <mergeCell ref="AU2:AW2"/>
    <mergeCell ref="AX2:BB2"/>
    <mergeCell ref="Z2:AC2"/>
    <mergeCell ref="AD2:AK2"/>
    <mergeCell ref="AL2:AT2"/>
    <mergeCell ref="R2:R3"/>
    <mergeCell ref="S2:S3"/>
    <mergeCell ref="T2:T3"/>
    <mergeCell ref="U2:U3"/>
    <mergeCell ref="BC2:BD2"/>
    <mergeCell ref="BE2:BF2"/>
    <mergeCell ref="A4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Q2"/>
    <mergeCell ref="V2:Y2"/>
  </mergeCells>
  <phoneticPr fontId="46" type="noConversion"/>
  <hyperlinks>
    <hyperlink ref="A1" location="汇总表!A1" display="←返回" xr:uid="{00000000-0004-0000-0300-000000000000}"/>
  </hyperlinks>
  <pageMargins left="0.7" right="0.7" top="0.75" bottom="0.75" header="0.3" footer="0.3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7" width="4.8984375" style="7" customWidth="1" outlineLevel="1"/>
    <col min="8" max="8" width="8.296875" style="7" customWidth="1" outlineLevel="1"/>
    <col min="9" max="9" width="7.7968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13.19921875" style="7" customWidth="1"/>
    <col min="19" max="19" width="4.69921875" style="7" customWidth="1"/>
    <col min="20" max="20" width="4.09765625" style="8" customWidth="1"/>
    <col min="21" max="21" width="13.5976562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/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4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400-000000000000}"/>
  </hyperlinks>
  <pageMargins left="0.7" right="0.7" top="0.75" bottom="0.75" header="0.3" footer="0.3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/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5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500-000000000000}"/>
  </hyperlinks>
  <pageMargins left="0.7" right="0.7" top="0.75" bottom="0.75" header="0.3" footer="0.3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26"/>
  <sheetViews>
    <sheetView zoomScale="115" zoomScaleNormal="115" workbookViewId="0">
      <pane xSplit="2" ySplit="4" topLeftCell="C110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6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600-000000000000}"/>
  </hyperlinks>
  <pageMargins left="0.7" right="0.7" top="0.75" bottom="0.75" header="0.3" footer="0.3"/>
  <pageSetup paperSize="9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26"/>
  <sheetViews>
    <sheetView zoomScale="115" zoomScaleNormal="115" workbookViewId="0">
      <pane xSplit="2" ySplit="4" topLeftCell="C105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7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700-000000000000}"/>
  </hyperlinks>
  <pageMargins left="0.7" right="0.7" top="0.75" bottom="0.75" header="0.3" footer="0.3"/>
  <pageSetup paperSize="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8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800-000000000000}"/>
  </hyperlinks>
  <pageMargins left="0.7" right="0.7" top="0.75" bottom="0.75" header="0.3" footer="0.3"/>
  <pageSetup paperSize="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26"/>
  <sheetViews>
    <sheetView zoomScale="115" zoomScaleNormal="115" workbookViewId="0">
      <pane xSplit="2" ySplit="4" topLeftCell="C26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0" t="s">
        <v>91</v>
      </c>
      <c r="R1" s="11"/>
      <c r="S1" s="11"/>
    </row>
    <row r="2" spans="1:57" s="1" customFormat="1" ht="25.5" customHeight="1">
      <c r="A2" s="510" t="s">
        <v>65</v>
      </c>
      <c r="B2" s="512" t="s">
        <v>66</v>
      </c>
      <c r="C2" s="514" t="s">
        <v>68</v>
      </c>
      <c r="D2" s="516" t="s">
        <v>69</v>
      </c>
      <c r="E2" s="518" t="s">
        <v>70</v>
      </c>
      <c r="F2" s="520" t="s">
        <v>71</v>
      </c>
      <c r="G2" s="504" t="s">
        <v>72</v>
      </c>
      <c r="H2" s="489" t="s">
        <v>73</v>
      </c>
      <c r="I2" s="524" t="s">
        <v>74</v>
      </c>
      <c r="J2" s="526" t="s">
        <v>75</v>
      </c>
      <c r="K2" s="528" t="s">
        <v>76</v>
      </c>
      <c r="L2" s="530" t="s">
        <v>98</v>
      </c>
      <c r="M2" s="530" t="s">
        <v>99</v>
      </c>
      <c r="N2" s="540" t="s">
        <v>79</v>
      </c>
      <c r="O2" s="540"/>
      <c r="P2" s="540"/>
      <c r="Q2" s="540"/>
      <c r="R2" s="532" t="s">
        <v>80</v>
      </c>
      <c r="S2" s="534" t="s">
        <v>81</v>
      </c>
      <c r="T2" s="536" t="s">
        <v>82</v>
      </c>
      <c r="U2" s="538" t="s">
        <v>83</v>
      </c>
      <c r="V2" s="487" t="s">
        <v>73</v>
      </c>
      <c r="W2" s="488"/>
      <c r="X2" s="489"/>
      <c r="Y2" s="489"/>
      <c r="Z2" s="489"/>
      <c r="AA2" s="490"/>
      <c r="AB2" s="491" t="s">
        <v>68</v>
      </c>
      <c r="AC2" s="492"/>
      <c r="AD2" s="493"/>
      <c r="AE2" s="493"/>
      <c r="AF2" s="493"/>
      <c r="AG2" s="493"/>
      <c r="AH2" s="493"/>
      <c r="AI2" s="493"/>
      <c r="AJ2" s="494"/>
      <c r="AK2" s="495" t="s">
        <v>69</v>
      </c>
      <c r="AL2" s="496"/>
      <c r="AM2" s="496"/>
      <c r="AN2" s="496"/>
      <c r="AO2" s="496"/>
      <c r="AP2" s="496"/>
      <c r="AQ2" s="496"/>
      <c r="AR2" s="496"/>
      <c r="AS2" s="497"/>
      <c r="AT2" s="498" t="s">
        <v>70</v>
      </c>
      <c r="AU2" s="499"/>
      <c r="AV2" s="500" t="s">
        <v>71</v>
      </c>
      <c r="AW2" s="501"/>
      <c r="AX2" s="501"/>
      <c r="AY2" s="501"/>
      <c r="AZ2" s="502"/>
      <c r="BA2" s="503" t="s">
        <v>84</v>
      </c>
      <c r="BB2" s="504"/>
      <c r="BC2" s="504"/>
      <c r="BD2" s="505"/>
      <c r="BE2" s="12"/>
    </row>
    <row r="3" spans="1:57" s="2" customFormat="1" ht="30" customHeight="1">
      <c r="A3" s="511"/>
      <c r="B3" s="513"/>
      <c r="C3" s="515"/>
      <c r="D3" s="517"/>
      <c r="E3" s="519"/>
      <c r="F3" s="521"/>
      <c r="G3" s="522"/>
      <c r="H3" s="523"/>
      <c r="I3" s="525"/>
      <c r="J3" s="527"/>
      <c r="K3" s="529"/>
      <c r="L3" s="531"/>
      <c r="M3" s="531"/>
      <c r="N3" s="13" t="s">
        <v>100</v>
      </c>
      <c r="O3" s="13" t="s">
        <v>101</v>
      </c>
      <c r="P3" s="13" t="s">
        <v>102</v>
      </c>
      <c r="Q3" s="14" t="s">
        <v>103</v>
      </c>
      <c r="R3" s="533"/>
      <c r="S3" s="535"/>
      <c r="T3" s="537"/>
      <c r="U3" s="539"/>
      <c r="V3" s="15" t="s">
        <v>19</v>
      </c>
      <c r="W3" s="16" t="s">
        <v>104</v>
      </c>
      <c r="X3" s="17" t="s">
        <v>105</v>
      </c>
      <c r="Y3" s="17" t="s">
        <v>106</v>
      </c>
      <c r="Z3" s="17" t="s">
        <v>107</v>
      </c>
      <c r="AA3" s="18" t="s">
        <v>32</v>
      </c>
      <c r="AB3" s="19" t="s">
        <v>108</v>
      </c>
      <c r="AC3" s="19" t="s">
        <v>109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110</v>
      </c>
      <c r="AL3" s="22" t="s">
        <v>111</v>
      </c>
      <c r="AM3" s="22" t="s">
        <v>112</v>
      </c>
      <c r="AN3" s="22" t="s">
        <v>113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114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06" t="s">
        <v>115</v>
      </c>
      <c r="B4" s="507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08" t="s">
        <v>95</v>
      </c>
      <c r="B114" s="509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116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117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9000000}"/>
  <mergeCells count="26">
    <mergeCell ref="R2:R3"/>
    <mergeCell ref="S2:S3"/>
    <mergeCell ref="T2:T3"/>
    <mergeCell ref="U2:U3"/>
    <mergeCell ref="N2:Q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V2:AA2"/>
    <mergeCell ref="AB2:AJ2"/>
    <mergeCell ref="AK2:AS2"/>
    <mergeCell ref="AT2:AU2"/>
    <mergeCell ref="AV2:AZ2"/>
  </mergeCells>
  <phoneticPr fontId="46" type="noConversion"/>
  <hyperlinks>
    <hyperlink ref="A1" location="汇总表!A1" display="←返回" xr:uid="{00000000-0004-0000-0900-000000000000}"/>
  </hyperlinks>
  <pageMargins left="0.7" right="0.7" top="0.75" bottom="0.75" header="0.3" footer="0.3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年度财务收支表</vt:lpstr>
      <vt:lpstr>汇总表</vt:lpstr>
      <vt:lpstr>原始表</vt:lpstr>
      <vt:lpstr>2、账户</vt:lpstr>
      <vt:lpstr>3、账户</vt:lpstr>
      <vt:lpstr>4、账户</vt:lpstr>
      <vt:lpstr>5、支付宝</vt:lpstr>
      <vt:lpstr>6、现金</vt:lpstr>
      <vt:lpstr>7、备用表</vt:lpstr>
    </vt:vector>
  </TitlesOfParts>
  <Company>Windsys.win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WindsysUser</dc:creator>
  <cp:lastModifiedBy>a53004</cp:lastModifiedBy>
  <dcterms:created xsi:type="dcterms:W3CDTF">2020-01-06T07:06:00Z</dcterms:created>
  <dcterms:modified xsi:type="dcterms:W3CDTF">2026-07-09T10:12:47Z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DE926F50061D42ED96A4F806E743FFE6_13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